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uan\Documents\SWP391_Project\SWP391_Project\SWP391-1\"/>
    </mc:Choice>
  </mc:AlternateContent>
  <xr:revisionPtr revIDLastSave="0" documentId="13_ncr:1_{EBE02768-AD9C-4EB6-9B95-01420A828120}" xr6:coauthVersionLast="47" xr6:coauthVersionMax="47" xr10:uidLastSave="{00000000-0000-0000-0000-000000000000}"/>
  <bookViews>
    <workbookView xWindow="-103" yWindow="-103" windowWidth="22149" windowHeight="11829" tabRatio="500" firstSheet="1" activeTab="1" xr2:uid="{00000000-000D-0000-FFFF-FFFF00000000}"/>
  </bookViews>
  <sheets>
    <sheet name="Cover" sheetId="1" r:id="rId1"/>
    <sheet name="Test Cases" sheetId="2" r:id="rId2"/>
    <sheet name="Test Statistics" sheetId="3" r:id="rId3"/>
    <sheet name="Authentication" sheetId="4" r:id="rId4"/>
    <sheet name="Event Management" sheetId="5" r:id="rId5"/>
    <sheet name="Registration &amp; Ticketing" sheetId="6" r:id="rId6"/>
    <sheet name="Check-in &amp; QR" sheetId="7" r:id="rId7"/>
  </sheets>
  <definedNames>
    <definedName name="ACTION" localSheetId="0">#REF!</definedName>
    <definedName name="ACTION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7" l="1"/>
  <c r="D8" i="7"/>
  <c r="C8" i="7"/>
  <c r="B8" i="7"/>
  <c r="E7" i="7"/>
  <c r="D7" i="7"/>
  <c r="C7" i="7"/>
  <c r="B7" i="7"/>
  <c r="E6" i="7"/>
  <c r="D6" i="7"/>
  <c r="F14" i="3" s="1"/>
  <c r="C6" i="7"/>
  <c r="E14" i="3" s="1"/>
  <c r="B6" i="7"/>
  <c r="B4" i="7"/>
  <c r="H14" i="3" s="1"/>
  <c r="E8" i="6"/>
  <c r="D8" i="6"/>
  <c r="C8" i="6"/>
  <c r="B8" i="6"/>
  <c r="E7" i="6"/>
  <c r="D7" i="6"/>
  <c r="C7" i="6"/>
  <c r="B7" i="6"/>
  <c r="E6" i="6"/>
  <c r="D6" i="6"/>
  <c r="F13" i="3" s="1"/>
  <c r="C6" i="6"/>
  <c r="B6" i="6"/>
  <c r="B4" i="6"/>
  <c r="H13" i="3" s="1"/>
  <c r="E8" i="5"/>
  <c r="D8" i="5"/>
  <c r="C8" i="5"/>
  <c r="B8" i="5"/>
  <c r="E7" i="5"/>
  <c r="D7" i="5"/>
  <c r="C7" i="5"/>
  <c r="B7" i="5"/>
  <c r="E6" i="5"/>
  <c r="D6" i="5"/>
  <c r="C6" i="5"/>
  <c r="B6" i="5"/>
  <c r="B4" i="5"/>
  <c r="H12" i="3" s="1"/>
  <c r="D16" i="3"/>
  <c r="G14" i="3"/>
  <c r="D14" i="3"/>
  <c r="C14" i="3"/>
  <c r="G13" i="3"/>
  <c r="E13" i="3"/>
  <c r="D13" i="3"/>
  <c r="C13" i="3"/>
  <c r="G12" i="3"/>
  <c r="F12" i="3"/>
  <c r="E12" i="3"/>
  <c r="D12" i="3"/>
  <c r="C12" i="3"/>
  <c r="D11" i="3"/>
  <c r="C11" i="3"/>
  <c r="H5" i="3"/>
  <c r="C4" i="3"/>
  <c r="H3" i="3"/>
  <c r="C3" i="3"/>
  <c r="C12" i="2"/>
  <c r="D12" i="2" s="1"/>
  <c r="C11" i="2"/>
  <c r="D11" i="2" s="1"/>
  <c r="D10" i="2"/>
  <c r="C10" i="2"/>
  <c r="C9" i="2"/>
  <c r="D9" i="2" s="1"/>
  <c r="D4" i="2"/>
  <c r="D3" i="2"/>
  <c r="B6" i="1"/>
  <c r="C5" i="3" s="1"/>
  <c r="E8" i="4"/>
  <c r="D8" i="4"/>
  <c r="C8" i="4"/>
  <c r="B8" i="4"/>
  <c r="E7" i="4"/>
  <c r="D7" i="4"/>
  <c r="C7" i="4"/>
  <c r="B7" i="4"/>
  <c r="E6" i="4"/>
  <c r="G11" i="3" s="1"/>
  <c r="G16" i="3" s="1"/>
  <c r="D6" i="4"/>
  <c r="F11" i="3" s="1"/>
  <c r="F16" i="3" s="1"/>
  <c r="C6" i="4"/>
  <c r="E11" i="3" s="1"/>
  <c r="E16" i="3" s="1"/>
  <c r="B6" i="4"/>
  <c r="B4" i="4"/>
  <c r="H11" i="3" s="1"/>
  <c r="H16" i="3" s="1"/>
  <c r="E19" i="3" l="1"/>
  <c r="E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0" authorId="0" shapeId="0" xr:uid="{00000000-0006-0000-0000-000001000000}">
      <text>
        <r>
          <rPr>
            <sz val="10"/>
            <rFont val="Arial"/>
            <family val="2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300-000001000000}">
      <text>
        <r>
          <rPr>
            <sz val="10"/>
            <rFont val="Arial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400-000001000000}">
      <text>
        <r>
          <rPr>
            <sz val="10"/>
            <rFont val="Arial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500-000001000000}">
      <text>
        <r>
          <rPr>
            <sz val="10"/>
            <rFont val="Arial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600-000001000000}">
      <text>
        <r>
          <rPr>
            <sz val="10"/>
            <rFont val="Arial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<sst xmlns="http://schemas.openxmlformats.org/spreadsheetml/2006/main" count="537" uniqueCount="230">
  <si>
    <t>TEST REPORT DOCUMENT</t>
  </si>
  <si>
    <t>Project Name</t>
  </si>
  <si>
    <t>He thong Quan ly Su kien &amp; Ho tro AI</t>
  </si>
  <si>
    <t>Creator</t>
  </si>
  <si>
    <t>Tran Xuan Thuan</t>
  </si>
  <si>
    <t>Project Code</t>
  </si>
  <si>
    <t>UEMS</t>
  </si>
  <si>
    <t>Issue Date</t>
  </si>
  <si>
    <t>Document Code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</si>
  <si>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</si>
  <si>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</si>
  <si>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</si>
  <si>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</si>
  <si>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</si>
  <si>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</si>
  <si>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</si>
  <si>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</si>
  <si>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Khuu Xuan Nhan</t>
  </si>
  <si>
    <t>A</t>
  </si>
  <si>
    <t>- Create new test report.
- Add Authentication test cases</t>
  </si>
  <si>
    <t>None</t>
  </si>
  <si>
    <t>1.1</t>
  </si>
  <si>
    <t>- Add Event Management test cases</t>
  </si>
  <si>
    <t>1.2</t>
  </si>
  <si>
    <t>- Add Registration &amp; Ticketing, Check-in &amp; QR</t>
  </si>
  <si>
    <t>1.3</t>
  </si>
  <si>
    <t>M</t>
  </si>
  <si>
    <t>- Review &amp; update expected results</t>
  </si>
  <si>
    <t>TEST CASE LIST</t>
  </si>
  <si>
    <t>Test Environment Setup Description</t>
  </si>
  <si>
    <t>1. Server: Node.js/Express
2. Database: MongoDB
3. Web Browser: Chrome, Edge
4. Mang LAN/Internet</t>
  </si>
  <si>
    <t>No</t>
  </si>
  <si>
    <t>Function Name</t>
  </si>
  <si>
    <t>Sheet Name</t>
  </si>
  <si>
    <t>Description</t>
  </si>
  <si>
    <t>Pre-Condition</t>
  </si>
  <si>
    <t>Dang ky, Dang nhap, SSO, Quen/Dat lai mat khau</t>
  </si>
  <si>
    <t>Tao, de xuat, xet duyet, publish, tim kiem su kien</t>
  </si>
  <si>
    <t>Dang ky/huy tham gia, mua ve, thanh toan online</t>
  </si>
  <si>
    <t>Tao QR diem danh, quet check-in, thong ke tham gia</t>
  </si>
  <si>
    <t>Function E</t>
  </si>
  <si>
    <t>Feature2</t>
  </si>
  <si>
    <t>TEST STATISTICS</t>
  </si>
  <si>
    <t>Reviewer/Approver</t>
  </si>
  <si>
    <t>Notes</t>
  </si>
  <si>
    <t>Authentication, Event Management, Registration &amp; Ticketing, Check-in &amp; QR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</si>
  <si>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</si>
  <si>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</si>
  <si>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</si>
  <si>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</si>
  <si>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</si>
  <si>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</si>
  <si>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</si>
  <si>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</si>
  <si>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</si>
  <si>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</si>
  <si>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</si>
  <si>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Authentication</t>
  </si>
  <si>
    <t>Test requirement</t>
  </si>
  <si>
    <t>Kiem thu chuc nang dang ky, dang nhap, dang nhap SSO va quen/dat lai mat khau cua he thong UEMS.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</si>
  <si>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</si>
  <si>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</si>
  <si>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</si>
  <si>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</si>
  <si>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</si>
  <si>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</si>
  <si>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</si>
  <si>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</si>
  <si>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</si>
  <si>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</si>
  <si>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</si>
  <si>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</si>
  <si>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</si>
  <si>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Register</t>
  </si>
  <si>
    <t>AUTH-REG-01</t>
  </si>
  <si>
    <t>Dang ky tai khoan Guest hop le</t>
  </si>
  <si>
    <t>1. Mo trang Signup
2. Nhap ho ten, email, SDT, mat khau hop le
3. Nhan Dang ky</t>
  </si>
  <si>
    <t>Tao tai khoan thanh cong, gui email/OTP xac thuc, chuyen ve trang dang nhap</t>
  </si>
  <si>
    <t>NhanKX</t>
  </si>
  <si>
    <t>LinhNN</t>
  </si>
  <si>
    <t>AUTH-REG-02</t>
  </si>
  <si>
    <t>Dang ky voi email da ton tai</t>
  </si>
  <si>
    <t>1. Mo trang Signup
2. Nhap email da dang ky truoc do
3. Nhan Dang ky</t>
  </si>
  <si>
    <t>Hien thi loi "Email da duoc su dung", khong tao tai khoan</t>
  </si>
  <si>
    <t>Da co tai khoan email nay</t>
  </si>
  <si>
    <t>TuanDPH</t>
  </si>
  <si>
    <t>AUTH-REG-03</t>
  </si>
  <si>
    <t>Dang ky voi mat khau yeu / khong khop</t>
  </si>
  <si>
    <t>1. Nhap mat khau &lt; 8 ky tu hoac confirm khong khop
2. Nhan Dang ky</t>
  </si>
  <si>
    <t>Hien thi thong bao rang buoc mat khau, chan submit</t>
  </si>
  <si>
    <t>Login</t>
  </si>
  <si>
    <t>AUTH-LOG-01</t>
  </si>
  <si>
    <t>Dang nhap voi tai khoan hop le</t>
  </si>
  <si>
    <t>1. Mo trang Login
2. Nhap email + mat khau dung
3. Nhan Dang nhap</t>
  </si>
  <si>
    <t>Dang nhap thanh cong, tra ve JWT, chuyen ve trang chu theo role</t>
  </si>
  <si>
    <t>Tai khoan da active</t>
  </si>
  <si>
    <t>AUTH-LOG-02</t>
  </si>
  <si>
    <t>Dang nhap sai mat khau</t>
  </si>
  <si>
    <t>1. Nhap email dung, mat khau sai
2. Nhan Dang nhap</t>
  </si>
  <si>
    <t>Hien thi "Email hoac mat khau khong dung", khong cap token</t>
  </si>
  <si>
    <t>AUTH-LOG-03</t>
  </si>
  <si>
    <t>Dang nhap tai khoan bi khoa</t>
  </si>
  <si>
    <t>1. Nhap thong tin tai khoan da bi Admin khoa
2. Nhan Dang nhap</t>
  </si>
  <si>
    <t>Hien thi thong bao tai khoan bi khoa, tu choi dang nhap</t>
  </si>
  <si>
    <t>Tai khoan bi khoa</t>
  </si>
  <si>
    <t>AUTH-LOG-04</t>
  </si>
  <si>
    <t>Dang nhap SSO bang email truong (Google)</t>
  </si>
  <si>
    <t>1. Nhan "Dang nhap voi Google"
2. Chon tai khoan email @fpt.edu.vn</t>
  </si>
  <si>
    <t>Xac thuc Google thanh cong, tu dong tao/gan role Student, vao trang chu</t>
  </si>
  <si>
    <t>Forgot Password</t>
  </si>
  <si>
    <t>AUTH-FGP-01</t>
  </si>
  <si>
    <t>Gui yeu cau quen mat khau</t>
  </si>
  <si>
    <t>1. Mo Forgot Password
2. Nhap email hop le
3. Nhan Gui</t>
  </si>
  <si>
    <t>Gui email chua link/OTP dat lai mat khau</t>
  </si>
  <si>
    <t>Email ton tai</t>
  </si>
  <si>
    <t>AUTH-FGP-02</t>
  </si>
  <si>
    <t>Dat lai mat khau bang token het han</t>
  </si>
  <si>
    <t>1. Mo link reset da het han
2. Nhap mat khau moi</t>
  </si>
  <si>
    <t>Hien thi loi token khong hop le/het han</t>
  </si>
  <si>
    <t>Token da het han</t>
  </si>
  <si>
    <t>Event Management</t>
  </si>
  <si>
    <t>Kiem thu luong tao, de xuat, xet duyet (ICPDP), publish (CTSV) va tim kiem su kien.</t>
  </si>
  <si>
    <t>Create / Proposal (ClubOrganizer)</t>
  </si>
  <si>
    <t>EVT-CRT-01</t>
  </si>
  <si>
    <t>Tao de xuat su kien hop le</t>
  </si>
  <si>
    <t>1. Dang nhap ClubOrganizer
2. Mo Create Event
3. Nhap ten, mo ta, thoi gian, dia diem, cau hinh ve
4. Luu nhap</t>
  </si>
  <si>
    <t>Tao su kien trang thai Draft/Pending, hien thi trong danh sach cua CLB</t>
  </si>
  <si>
    <t>Login ClubOrganizer</t>
  </si>
  <si>
    <t>EVT-CRT-02</t>
  </si>
  <si>
    <t>Tao su kien trung khung gio dia diem</t>
  </si>
  <si>
    <t>1. Tao su kien tai dia diem/thoi gian da co su kien khac
2. Luu</t>
  </si>
  <si>
    <t>He thong canh bao xung dot lich (Schedule Conflict), chan luu</t>
  </si>
  <si>
    <t>Da co su kien tai khung gio do</t>
  </si>
  <si>
    <t>EVT-CRT-03</t>
  </si>
  <si>
    <t>Submit de xuat len ICPDP</t>
  </si>
  <si>
    <t>1. Mo su kien Draft
2. Nhan Submit to ICPDP</t>
  </si>
  <si>
    <t>Chuyen trang thai sang Pending Approval, gui thong bao ICPDP</t>
  </si>
  <si>
    <t>Su kien o trang thai Draft</t>
  </si>
  <si>
    <t>Approve (ICPDP)</t>
  </si>
  <si>
    <t>EVT-APR-01</t>
  </si>
  <si>
    <t>ICPDP phe duyet de xuat</t>
  </si>
  <si>
    <t>1. Dang nhap ICPDP
2. Mo de xuat Pending
3. Nhan Approve</t>
  </si>
  <si>
    <t>Su kien chuyen Approved, gui thong bao cho CLB</t>
  </si>
  <si>
    <t>Co de xuat Pending</t>
  </si>
  <si>
    <t>EVT-APR-02</t>
  </si>
  <si>
    <t>ICPDP tu choi kem ly do</t>
  </si>
  <si>
    <t>1. Mo de xuat Pending
2. Nhan Reject, nhap ly do</t>
  </si>
  <si>
    <t>Su kien chuyen Rejected, hien thi ly do cho CLB</t>
  </si>
  <si>
    <t>Publish (CTSV)</t>
  </si>
  <si>
    <t>EVT-PUB-01</t>
  </si>
  <si>
    <t>CTSV publish su kien da duyet</t>
  </si>
  <si>
    <t>1. Dang nhap CTSV
2. Mo su kien Approved
3. Nhan Publish</t>
  </si>
  <si>
    <t>Su kien hien thi cong khai tren trang chu cho toan bo sinh vien</t>
  </si>
  <si>
    <t>Su kien Approved</t>
  </si>
  <si>
    <t>EVT-PUB-02</t>
  </si>
  <si>
    <t>Xem chi tiet su kien cong khai (Guest)</t>
  </si>
  <si>
    <t>1. Mo trang chu
2. Chon 1 su kien da Publish</t>
  </si>
  <si>
    <t>Hien thi day du thong tin su kien, nut Dang ky/Mua ve</t>
  </si>
  <si>
    <t>Su kien da Publish</t>
  </si>
  <si>
    <t>EVT-PUB-03</t>
  </si>
  <si>
    <t>Tim kiem &amp; loc su kien</t>
  </si>
  <si>
    <t>1. Mo Events
2. Loc theo loai hinh (Workshop) va CLB</t>
  </si>
  <si>
    <t>Tra ve danh sach dung dieu kien loc</t>
  </si>
  <si>
    <t>Co du lieu su kien</t>
  </si>
  <si>
    <t>Registration &amp; Ticketing</t>
  </si>
  <si>
    <t>Kiem thu dang ky/huy tham gia, mua ve va thanh toan online cua sinh vien.</t>
  </si>
  <si>
    <t>Registration</t>
  </si>
  <si>
    <t>REG-RGS-01</t>
  </si>
  <si>
    <t>Sinh vien dang ky su kien mien phi</t>
  </si>
  <si>
    <t>1. Dang nhap Student
2. Mo su kien con slot
3. Nhan Dang ky</t>
  </si>
  <si>
    <t>Dang ky thanh cong, giam so slot, hien thi trong My Events</t>
  </si>
  <si>
    <t>Su kien con slot</t>
  </si>
  <si>
    <t>REG-RGS-02</t>
  </si>
  <si>
    <t>Dang ky su kien da het slot</t>
  </si>
  <si>
    <t>1. Mo su kien het slot
2. Nhan Dang ky</t>
  </si>
  <si>
    <t>Hien thi "Da het slot", chan dang ky</t>
  </si>
  <si>
    <t>Su kien full</t>
  </si>
  <si>
    <t>REG-RGS-03</t>
  </si>
  <si>
    <t>Dang ky su kien trung lich ca nhan</t>
  </si>
  <si>
    <t>1. Dang ky su kien trung khung gio voi su kien da tham gia</t>
  </si>
  <si>
    <t>He thong canh bao trung lich, chan/hoi xac nhan</t>
  </si>
  <si>
    <t>Da co su kien cung khung gio</t>
  </si>
  <si>
    <t>REG-RGS-04</t>
  </si>
  <si>
    <t>Huy dang ky su kien</t>
  </si>
  <si>
    <t>1. Mo My Events
2. Chon su kien
3. Nhan Huy dang ky</t>
  </si>
  <si>
    <t>Huy thanh cong, hoan tra slot</t>
  </si>
  <si>
    <t>Da dang ky su kien</t>
  </si>
  <si>
    <t>Ticketing &amp; Payment</t>
  </si>
  <si>
    <t>REG-PAY-01</t>
  </si>
  <si>
    <t>Mua ve su kien co phi thanh cong</t>
  </si>
  <si>
    <t>1. Mo su kien co phi
2. Chon loai ve, so luong
3. Thanh toan qua cong tich hop</t>
  </si>
  <si>
    <t>Thanh toan thanh cong, cap ve dinh danh kem QR, gui email xac nhan</t>
  </si>
  <si>
    <t>Login Student, con ve</t>
  </si>
  <si>
    <t>REG-PAY-02</t>
  </si>
  <si>
    <t>Thanh toan that bai / huy giao dich</t>
  </si>
  <si>
    <t>1. Mua ve
2. Huy tai cong thanh toan hoac the loi</t>
  </si>
  <si>
    <t>Giao dich that bai, khong cap ve, khong tru slot</t>
  </si>
  <si>
    <t>REG-PAY-03</t>
  </si>
  <si>
    <t>Xem lich su thanh toan</t>
  </si>
  <si>
    <t>1. Mo My Payments</t>
  </si>
  <si>
    <t>Hien thi danh sach giao dich va trang thai</t>
  </si>
  <si>
    <t>Da co giao dich</t>
  </si>
  <si>
    <t>Check-in &amp; QR</t>
  </si>
  <si>
    <t>Kiem thu tao ma QR diem danh, quet check-in tai su kien va thong ke ty le tham gia.</t>
  </si>
  <si>
    <t>Create QR (ClubOrganizer)</t>
  </si>
  <si>
    <t>CHK-QR-01</t>
  </si>
  <si>
    <t>Tao ma QR diem danh cho su kien</t>
  </si>
  <si>
    <t>1. Dang nhap ClubOrganizer
2. Mo su kien dang dien ra
3. Nhan Create QR</t>
  </si>
  <si>
    <t>Sinh ma QR diem danh, hien thi de nguoi tham gia quet</t>
  </si>
  <si>
    <t>Su kien Published, dang dien ra</t>
  </si>
  <si>
    <t>Check-in / Scan</t>
  </si>
  <si>
    <t>CHK-SCN-01</t>
  </si>
  <si>
    <t>Nguoi tham gia quet QR check-in hop le</t>
  </si>
  <si>
    <t>1. Mo QR Scan
2. Quet ma QR cua su kien</t>
  </si>
  <si>
    <t>Xac nhan check-in thanh cong, cap nhat trang thai tham gia</t>
  </si>
  <si>
    <t>Da co ve/dang ky hop le</t>
  </si>
  <si>
    <t>CHK-SCN-02</t>
  </si>
  <si>
    <t>Quet ma QR khong hop le / gia mao</t>
  </si>
  <si>
    <t>1. Quet ma QR sai hoac cua su kien khac</t>
  </si>
  <si>
    <t>Tu choi check-in, hien thi loi ma khong hop le</t>
  </si>
  <si>
    <t>CHK-SCN-03</t>
  </si>
  <si>
    <t>Check-in trung (da diem danh)</t>
  </si>
  <si>
    <t>1. Quet lai QR cua nguoi da check-in</t>
  </si>
  <si>
    <t>Bao "Da check-in truoc do", khong ghi trung</t>
  </si>
  <si>
    <t>Da check-in truoc do</t>
  </si>
  <si>
    <t>CHK-SCN-04</t>
  </si>
  <si>
    <t>Xem dashboard ty le check-in</t>
  </si>
  <si>
    <t>1. Mo dashboard su kien</t>
  </si>
  <si>
    <t>Hien thi so lieu dang ky va ty le check-in thuc te</t>
  </si>
  <si>
    <t>Co du lieu check-in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</si>
</sst>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d\-mmm\-yy"/>
  </numFmts>
  <fonts count="31">
    <font>
      <sz val="11"/>
      <name val="ＭＳ Ｐゴシック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Tahoma"/>
      <family val="2"/>
      <charset val="1"/>
    </font>
    <font>
      <b/>
      <sz val="26"/>
      <color rgb="FFFF0000"/>
      <name val="Tahoma"/>
      <family val="2"/>
      <charset val="1"/>
    </font>
    <font>
      <b/>
      <sz val="20"/>
      <color rgb="FF000000"/>
      <name val="Tahoma"/>
      <family val="2"/>
      <charset val="1"/>
    </font>
    <font>
      <b/>
      <sz val="10"/>
      <color rgb="FF993300"/>
      <name val="Tahoma"/>
      <family val="2"/>
      <charset val="1"/>
    </font>
    <font>
      <i/>
      <sz val="10"/>
      <color rgb="FF008000"/>
      <name val="Tahoma"/>
      <family val="2"/>
      <charset val="1"/>
    </font>
    <font>
      <b/>
      <sz val="10"/>
      <name val="Tahoma"/>
      <family val="2"/>
      <charset val="1"/>
    </font>
    <font>
      <i/>
      <sz val="10"/>
      <name val="Tahoma"/>
      <family val="2"/>
      <charset val="1"/>
    </font>
    <font>
      <b/>
      <sz val="10"/>
      <color rgb="FFFFFFFF"/>
      <name val="Tahoma"/>
      <family val="2"/>
      <charset val="1"/>
    </font>
    <font>
      <sz val="10"/>
      <name val="Arial"/>
      <family val="2"/>
    </font>
    <font>
      <b/>
      <sz val="10"/>
      <color rgb="FF000000"/>
      <name val="Tahoma"/>
      <family val="2"/>
      <charset val="1"/>
    </font>
    <font>
      <b/>
      <sz val="10"/>
      <color rgb="FFFF0000"/>
      <name val="Tahoma"/>
      <family val="2"/>
      <charset val="1"/>
    </font>
    <font>
      <u/>
      <sz val="11"/>
      <color rgb="FF0000FF"/>
      <name val="ＭＳ Ｐゴシック"/>
      <family val="3"/>
      <charset val="128"/>
    </font>
    <font>
      <u/>
      <sz val="10"/>
      <color rgb="FF0000FF"/>
      <name val="Tahoma"/>
      <family val="2"/>
      <charset val="1"/>
    </font>
    <font>
      <sz val="10"/>
      <color rgb="FFFFFFFF"/>
      <name val="Tahoma"/>
      <family val="2"/>
      <charset val="1"/>
    </font>
    <font>
      <b/>
      <sz val="10"/>
      <color rgb="FF0000FF"/>
      <name val="Tahoma"/>
      <family val="2"/>
      <charset val="1"/>
    </font>
    <font>
      <sz val="10"/>
      <color rgb="FF000000"/>
      <name val="Tahoma"/>
      <family val="2"/>
      <charset val="1"/>
    </font>
    <font>
      <sz val="10"/>
      <color rgb="FFFF0000"/>
      <name val="Tahoma"/>
      <family val="2"/>
      <charset val="1"/>
    </font>
    <font>
      <b/>
      <i/>
      <sz val="10"/>
      <name val="Tahoma"/>
      <family val="2"/>
      <charset val="1"/>
    </font>
    <font>
      <sz val="1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008000"/>
      <name val="Arial"/>
      <family val="2"/>
    </font>
    <font>
      <b/>
      <i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theme="6" tint="-0.249977111117893"/>
        <bgColor rgb="FF808080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2">
    <xf numFmtId="0" fontId="0" fillId="0" borderId="0" xfId="0"/>
    <xf numFmtId="0" fontId="8" fillId="2" borderId="2" xfId="0" applyFont="1" applyFill="1" applyBorder="1" applyAlignment="1">
      <alignment vertical="top"/>
    </xf>
    <xf numFmtId="0" fontId="7" fillId="2" borderId="2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0" fontId="8" fillId="2" borderId="2" xfId="0" applyFont="1" applyFill="1" applyBorder="1" applyAlignment="1">
      <alignment vertical="top" wrapText="1"/>
    </xf>
    <xf numFmtId="1" fontId="7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left"/>
    </xf>
    <xf numFmtId="1" fontId="7" fillId="2" borderId="1" xfId="0" applyNumberFormat="1" applyFont="1" applyFill="1" applyBorder="1"/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top" wrapText="1"/>
    </xf>
    <xf numFmtId="0" fontId="4" fillId="2" borderId="23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indent="1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indent="1"/>
    </xf>
    <xf numFmtId="0" fontId="8" fillId="0" borderId="0" xfId="0" applyFont="1" applyAlignment="1">
      <alignment horizontal="left" indent="1"/>
    </xf>
    <xf numFmtId="0" fontId="4" fillId="2" borderId="0" xfId="0" applyFont="1" applyFill="1"/>
    <xf numFmtId="0" fontId="9" fillId="2" borderId="2" xfId="0" applyFont="1" applyFill="1" applyBorder="1" applyAlignment="1">
      <alignment horizontal="left"/>
    </xf>
    <xf numFmtId="0" fontId="4" fillId="0" borderId="3" xfId="0" applyFont="1" applyBorder="1"/>
    <xf numFmtId="14" fontId="10" fillId="0" borderId="3" xfId="0" applyNumberFormat="1" applyFont="1" applyBorder="1"/>
    <xf numFmtId="0" fontId="9" fillId="2" borderId="2" xfId="0" applyFont="1" applyFill="1" applyBorder="1" applyAlignment="1">
      <alignment vertical="center"/>
    </xf>
    <xf numFmtId="0" fontId="10" fillId="0" borderId="3" xfId="0" applyFont="1" applyBorder="1" applyAlignment="1">
      <alignment horizontal="left" indent="1"/>
    </xf>
    <xf numFmtId="0" fontId="9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indent="1"/>
    </xf>
    <xf numFmtId="0" fontId="9" fillId="0" borderId="0" xfId="0" applyFont="1" applyAlignment="1">
      <alignment horizontal="left"/>
    </xf>
    <xf numFmtId="164" fontId="11" fillId="3" borderId="4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10" fillId="0" borderId="7" xfId="0" applyNumberFormat="1" applyFont="1" applyBorder="1" applyAlignment="1">
      <alignment vertical="top" wrapText="1"/>
    </xf>
    <xf numFmtId="49" fontId="4" fillId="0" borderId="8" xfId="0" applyNumberFormat="1" applyFont="1" applyBorder="1" applyAlignment="1">
      <alignment vertical="top"/>
    </xf>
    <xf numFmtId="0" fontId="4" fillId="0" borderId="8" xfId="0" applyFont="1" applyBorder="1" applyAlignment="1">
      <alignment vertical="top"/>
    </xf>
    <xf numFmtId="165" fontId="4" fillId="0" borderId="8" xfId="0" applyNumberFormat="1" applyFont="1" applyBorder="1" applyAlignment="1">
      <alignment vertical="top"/>
    </xf>
    <xf numFmtId="0" fontId="10" fillId="0" borderId="9" xfId="0" applyFont="1" applyBorder="1" applyAlignment="1">
      <alignment vertical="top" wrapText="1"/>
    </xf>
    <xf numFmtId="0" fontId="4" fillId="0" borderId="0" xfId="0" applyFont="1" applyAlignment="1">
      <alignment vertical="top"/>
    </xf>
    <xf numFmtId="164" fontId="4" fillId="0" borderId="7" xfId="0" applyNumberFormat="1" applyFont="1" applyBorder="1" applyAlignment="1">
      <alignment vertical="top"/>
    </xf>
    <xf numFmtId="0" fontId="4" fillId="0" borderId="9" xfId="0" applyFont="1" applyBorder="1" applyAlignment="1">
      <alignment vertical="top"/>
    </xf>
    <xf numFmtId="164" fontId="4" fillId="0" borderId="10" xfId="0" applyNumberFormat="1" applyFont="1" applyBorder="1" applyAlignment="1">
      <alignment vertical="top"/>
    </xf>
    <xf numFmtId="49" fontId="4" fillId="0" borderId="11" xfId="0" applyNumberFormat="1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1" fontId="4" fillId="2" borderId="0" xfId="0" applyNumberFormat="1" applyFont="1" applyFill="1"/>
    <xf numFmtId="0" fontId="4" fillId="2" borderId="0" xfId="0" applyFont="1" applyFill="1" applyAlignment="1">
      <alignment horizontal="left"/>
    </xf>
    <xf numFmtId="1" fontId="4" fillId="2" borderId="0" xfId="0" applyNumberFormat="1" applyFont="1" applyFill="1" applyProtection="1">
      <protection hidden="1"/>
    </xf>
    <xf numFmtId="0" fontId="6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4" fillId="2" borderId="0" xfId="0" applyFont="1" applyFill="1" applyAlignment="1">
      <alignment wrapText="1"/>
    </xf>
    <xf numFmtId="1" fontId="7" fillId="2" borderId="0" xfId="0" applyNumberFormat="1" applyFont="1" applyFill="1"/>
    <xf numFmtId="0" fontId="4" fillId="2" borderId="0" xfId="0" applyFont="1" applyFill="1" applyAlignment="1">
      <alignment vertical="center"/>
    </xf>
    <xf numFmtId="1" fontId="4" fillId="2" borderId="0" xfId="0" applyNumberFormat="1" applyFont="1" applyFill="1" applyAlignment="1" applyProtection="1">
      <alignment vertical="center"/>
      <protection hidden="1"/>
    </xf>
    <xf numFmtId="0" fontId="4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/>
    </xf>
    <xf numFmtId="1" fontId="11" fillId="4" borderId="4" xfId="0" applyNumberFormat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vertical="center"/>
    </xf>
    <xf numFmtId="49" fontId="4" fillId="2" borderId="8" xfId="0" applyNumberFormat="1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1" fontId="4" fillId="2" borderId="10" xfId="0" applyNumberFormat="1" applyFont="1" applyFill="1" applyBorder="1" applyAlignment="1">
      <alignment vertical="center"/>
    </xf>
    <xf numFmtId="49" fontId="4" fillId="2" borderId="11" xfId="0" applyNumberFormat="1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9" fillId="2" borderId="0" xfId="0" applyFont="1" applyFill="1"/>
    <xf numFmtId="164" fontId="4" fillId="2" borderId="0" xfId="0" applyNumberFormat="1" applyFont="1" applyFill="1"/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vertical="top"/>
    </xf>
    <xf numFmtId="0" fontId="7" fillId="2" borderId="2" xfId="0" applyFont="1" applyFill="1" applyBorder="1" applyAlignment="1">
      <alignment vertical="center"/>
    </xf>
    <xf numFmtId="14" fontId="8" fillId="2" borderId="3" xfId="0" applyNumberFormat="1" applyFont="1" applyFill="1" applyBorder="1" applyAlignment="1">
      <alignment vertical="top"/>
    </xf>
    <xf numFmtId="0" fontId="7" fillId="2" borderId="0" xfId="0" applyFont="1" applyFill="1"/>
    <xf numFmtId="0" fontId="8" fillId="2" borderId="0" xfId="0" applyFont="1" applyFill="1"/>
    <xf numFmtId="0" fontId="4" fillId="2" borderId="14" xfId="0" applyFont="1" applyFill="1" applyBorder="1"/>
    <xf numFmtId="0" fontId="11" fillId="3" borderId="1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11" fillId="3" borderId="13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/>
    </xf>
    <xf numFmtId="0" fontId="4" fillId="2" borderId="8" xfId="0" applyFont="1" applyFill="1" applyBorder="1"/>
    <xf numFmtId="0" fontId="4" fillId="2" borderId="8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/>
    </xf>
    <xf numFmtId="0" fontId="11" fillId="3" borderId="11" xfId="0" applyFont="1" applyFill="1" applyBorder="1"/>
    <xf numFmtId="0" fontId="17" fillId="3" borderId="11" xfId="0" applyFont="1" applyFill="1" applyBorder="1" applyAlignment="1">
      <alignment horizontal="center"/>
    </xf>
    <xf numFmtId="0" fontId="17" fillId="3" borderId="2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/>
    </xf>
    <xf numFmtId="2" fontId="18" fillId="2" borderId="0" xfId="0" applyNumberFormat="1" applyFont="1" applyFill="1" applyAlignment="1">
      <alignment horizontal="right" wrapText="1"/>
    </xf>
    <xf numFmtId="0" fontId="19" fillId="2" borderId="0" xfId="0" applyFont="1" applyFill="1" applyAlignment="1">
      <alignment horizontal="center" wrapText="1"/>
    </xf>
    <xf numFmtId="0" fontId="20" fillId="2" borderId="0" xfId="0" applyFont="1" applyFill="1"/>
    <xf numFmtId="0" fontId="9" fillId="2" borderId="22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left" wrapText="1"/>
    </xf>
    <xf numFmtId="0" fontId="20" fillId="2" borderId="0" xfId="0" applyFont="1" applyFill="1" applyAlignment="1">
      <alignment wrapText="1"/>
    </xf>
    <xf numFmtId="0" fontId="19" fillId="2" borderId="0" xfId="0" applyFont="1" applyFill="1"/>
    <xf numFmtId="0" fontId="9" fillId="2" borderId="24" xfId="0" applyFont="1" applyFill="1" applyBorder="1" applyAlignment="1">
      <alignment horizontal="center" vertical="top" wrapText="1"/>
    </xf>
    <xf numFmtId="0" fontId="21" fillId="2" borderId="24" xfId="0" applyFont="1" applyFill="1" applyBorder="1" applyAlignment="1">
      <alignment horizontal="center" vertical="top" wrapText="1"/>
    </xf>
    <xf numFmtId="0" fontId="21" fillId="2" borderId="2" xfId="0" applyFont="1" applyFill="1" applyBorder="1" applyAlignment="1">
      <alignment horizontal="center" vertical="top" wrapText="1"/>
    </xf>
    <xf numFmtId="0" fontId="21" fillId="2" borderId="25" xfId="0" applyFont="1" applyFill="1" applyBorder="1" applyAlignment="1">
      <alignment horizontal="center" vertical="top" wrapText="1"/>
    </xf>
    <xf numFmtId="0" fontId="1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25" xfId="0" applyFont="1" applyFill="1" applyBorder="1" applyAlignment="1">
      <alignment horizontal="center" vertical="top" wrapText="1"/>
    </xf>
    <xf numFmtId="0" fontId="19" fillId="2" borderId="0" xfId="0" applyFont="1" applyFill="1" applyAlignment="1">
      <alignment horizontal="center" vertical="center" wrapText="1"/>
    </xf>
    <xf numFmtId="0" fontId="21" fillId="2" borderId="26" xfId="0" applyFont="1" applyFill="1" applyBorder="1" applyAlignment="1">
      <alignment horizontal="center" vertical="top" wrapText="1"/>
    </xf>
    <xf numFmtId="0" fontId="4" fillId="2" borderId="27" xfId="0" applyFont="1" applyFill="1" applyBorder="1" applyAlignment="1">
      <alignment horizontal="center" vertical="top" wrapText="1"/>
    </xf>
    <xf numFmtId="0" fontId="4" fillId="2" borderId="28" xfId="0" applyFont="1" applyFill="1" applyBorder="1" applyAlignment="1">
      <alignment horizontal="center" vertical="top" wrapText="1"/>
    </xf>
    <xf numFmtId="0" fontId="14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vertical="top"/>
    </xf>
    <xf numFmtId="14" fontId="22" fillId="0" borderId="0" xfId="0" applyNumberFormat="1" applyFont="1"/>
    <xf numFmtId="0" fontId="23" fillId="2" borderId="0" xfId="0" applyFont="1" applyFill="1"/>
    <xf numFmtId="0" fontId="12" fillId="2" borderId="0" xfId="0" applyFont="1" applyFill="1"/>
    <xf numFmtId="0" fontId="24" fillId="5" borderId="2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vertical="top"/>
    </xf>
    <xf numFmtId="0" fontId="23" fillId="2" borderId="0" xfId="0" applyFont="1" applyFill="1" applyAlignment="1">
      <alignment vertical="top" wrapText="1"/>
    </xf>
    <xf numFmtId="0" fontId="12" fillId="2" borderId="0" xfId="0" applyFont="1" applyFill="1" applyAlignment="1">
      <alignment wrapText="1"/>
    </xf>
    <xf numFmtId="0" fontId="23" fillId="2" borderId="0" xfId="0" applyFont="1" applyFill="1" applyAlignment="1">
      <alignment wrapText="1"/>
    </xf>
    <xf numFmtId="0" fontId="25" fillId="2" borderId="0" xfId="0" applyFont="1" applyFill="1"/>
    <xf numFmtId="0" fontId="26" fillId="2" borderId="22" xfId="0" applyFont="1" applyFill="1" applyBorder="1" applyAlignment="1">
      <alignment horizontal="center" vertical="top" wrapText="1"/>
    </xf>
    <xf numFmtId="0" fontId="12" fillId="2" borderId="23" xfId="0" applyFont="1" applyFill="1" applyBorder="1" applyAlignment="1">
      <alignment horizontal="left" vertical="top" wrapText="1"/>
    </xf>
    <xf numFmtId="0" fontId="27" fillId="2" borderId="0" xfId="0" applyFont="1" applyFill="1" applyAlignment="1">
      <alignment wrapText="1"/>
    </xf>
    <xf numFmtId="0" fontId="27" fillId="2" borderId="0" xfId="0" applyFont="1" applyFill="1" applyAlignment="1">
      <alignment horizontal="left" wrapText="1"/>
    </xf>
    <xf numFmtId="0" fontId="25" fillId="2" borderId="0" xfId="0" applyFont="1" applyFill="1" applyAlignment="1">
      <alignment wrapText="1"/>
    </xf>
    <xf numFmtId="0" fontId="26" fillId="2" borderId="24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left" vertical="top" wrapText="1"/>
    </xf>
    <xf numFmtId="0" fontId="28" fillId="2" borderId="24" xfId="0" applyFont="1" applyFill="1" applyBorder="1" applyAlignment="1">
      <alignment horizontal="center" vertical="top" wrapText="1"/>
    </xf>
    <xf numFmtId="0" fontId="28" fillId="2" borderId="2" xfId="0" applyFont="1" applyFill="1" applyBorder="1" applyAlignment="1">
      <alignment horizontal="center" vertical="top" wrapText="1"/>
    </xf>
    <xf numFmtId="0" fontId="28" fillId="2" borderId="25" xfId="0" applyFont="1" applyFill="1" applyBorder="1" applyAlignment="1">
      <alignment horizontal="center" vertical="top" wrapText="1"/>
    </xf>
    <xf numFmtId="0" fontId="29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wrapText="1"/>
    </xf>
    <xf numFmtId="0" fontId="25" fillId="2" borderId="0" xfId="0" applyFont="1" applyFill="1" applyAlignment="1">
      <alignment horizontal="center" wrapText="1"/>
    </xf>
    <xf numFmtId="0" fontId="12" fillId="2" borderId="2" xfId="0" applyFont="1" applyFill="1" applyBorder="1" applyAlignment="1">
      <alignment horizontal="center" vertical="top" wrapText="1"/>
    </xf>
    <xf numFmtId="0" fontId="12" fillId="2" borderId="25" xfId="0" applyFont="1" applyFill="1" applyBorder="1" applyAlignment="1">
      <alignment horizontal="center" vertical="top" wrapText="1"/>
    </xf>
    <xf numFmtId="0" fontId="23" fillId="2" borderId="0" xfId="0" applyFont="1" applyFill="1" applyAlignment="1">
      <alignment horizontal="center" vertical="center" wrapText="1"/>
    </xf>
    <xf numFmtId="0" fontId="28" fillId="2" borderId="26" xfId="0" applyFont="1" applyFill="1" applyBorder="1" applyAlignment="1">
      <alignment horizontal="center" vertical="top" wrapText="1"/>
    </xf>
    <xf numFmtId="0" fontId="12" fillId="2" borderId="27" xfId="0" applyFont="1" applyFill="1" applyBorder="1" applyAlignment="1">
      <alignment horizontal="center" vertical="top" wrapText="1"/>
    </xf>
    <xf numFmtId="0" fontId="12" fillId="2" borderId="28" xfId="0" applyFont="1" applyFill="1" applyBorder="1" applyAlignment="1">
      <alignment horizontal="center" vertical="top" wrapText="1"/>
    </xf>
    <xf numFmtId="0" fontId="23" fillId="2" borderId="0" xfId="0" applyFont="1" applyFill="1" applyAlignment="1">
      <alignment horizontal="center" wrapText="1"/>
    </xf>
    <xf numFmtId="0" fontId="30" fillId="2" borderId="0" xfId="0" applyFont="1" applyFill="1" applyAlignment="1">
      <alignment horizontal="center" vertical="center" wrapText="1"/>
    </xf>
  </cellXfs>
  <cellStyles count="2">
    <cellStyle name="Normal" xfId="0" builtinId="0"/>
    <cellStyle name="標準_結合試験(AllOvertheWorld)" xfId="1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88920</xdr:rowOff>
    </xdr:from>
    <xdr:to>
      <xdr:col>0</xdr:col>
      <xdr:colOff>2132640</xdr:colOff>
      <xdr:row>1</xdr:row>
      <xdr:rowOff>786240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50920"/>
          <a:ext cx="2132640" cy="697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showGridLines="0" zoomScaleNormal="100" workbookViewId="0">
      <selection activeCell="E10" sqref="E10"/>
    </sheetView>
  </sheetViews>
  <sheetFormatPr defaultColWidth="9" defaultRowHeight="12.45"/>
  <cols>
    <col min="1" max="1" width="28.07421875" style="13" customWidth="1"/>
    <col min="2" max="2" width="10" style="14" customWidth="1"/>
    <col min="3" max="3" width="14.3046875" style="14" customWidth="1"/>
    <col min="4" max="4" width="8" style="14" customWidth="1"/>
    <col min="5" max="5" width="38" style="14" customWidth="1"/>
    <col min="6" max="6" width="48.07421875" style="14" customWidth="1"/>
    <col min="7" max="256" width="9" style="14"/>
    <col min="257" max="257" width="28.07421875" style="14" customWidth="1"/>
    <col min="258" max="258" width="10" style="14" customWidth="1"/>
    <col min="259" max="259" width="14.3046875" style="14" customWidth="1"/>
    <col min="260" max="260" width="8" style="14" customWidth="1"/>
    <col min="261" max="261" width="38" style="14" customWidth="1"/>
    <col min="262" max="262" width="48.07421875" style="14" customWidth="1"/>
    <col min="263" max="512" width="9" style="14"/>
    <col min="513" max="513" width="28.07421875" style="14" customWidth="1"/>
    <col min="514" max="514" width="10" style="14" customWidth="1"/>
    <col min="515" max="515" width="14.3046875" style="14" customWidth="1"/>
    <col min="516" max="516" width="8" style="14" customWidth="1"/>
    <col min="517" max="517" width="38" style="14" customWidth="1"/>
    <col min="518" max="518" width="48.07421875" style="14" customWidth="1"/>
    <col min="519" max="768" width="9" style="14"/>
    <col min="769" max="769" width="28.07421875" style="14" customWidth="1"/>
    <col min="770" max="770" width="10" style="14" customWidth="1"/>
    <col min="771" max="771" width="14.3046875" style="14" customWidth="1"/>
    <col min="772" max="772" width="8" style="14" customWidth="1"/>
    <col min="773" max="773" width="38" style="14" customWidth="1"/>
    <col min="774" max="774" width="48.07421875" style="14" customWidth="1"/>
    <col min="775" max="1024" width="9" style="14"/>
    <col min="1025" max="1025" width="28.07421875" style="14" customWidth="1"/>
    <col min="1026" max="1026" width="10" style="14" customWidth="1"/>
    <col min="1027" max="1027" width="14.3046875" style="14" customWidth="1"/>
    <col min="1028" max="1028" width="8" style="14" customWidth="1"/>
    <col min="1029" max="1029" width="38" style="14" customWidth="1"/>
    <col min="1030" max="1030" width="48.07421875" style="14" customWidth="1"/>
    <col min="1031" max="1280" width="9" style="14"/>
    <col min="1281" max="1281" width="28.07421875" style="14" customWidth="1"/>
    <col min="1282" max="1282" width="10" style="14" customWidth="1"/>
    <col min="1283" max="1283" width="14.3046875" style="14" customWidth="1"/>
    <col min="1284" max="1284" width="8" style="14" customWidth="1"/>
    <col min="1285" max="1285" width="38" style="14" customWidth="1"/>
    <col min="1286" max="1286" width="48.07421875" style="14" customWidth="1"/>
    <col min="1287" max="1536" width="9" style="14"/>
    <col min="1537" max="1537" width="28.07421875" style="14" customWidth="1"/>
    <col min="1538" max="1538" width="10" style="14" customWidth="1"/>
    <col min="1539" max="1539" width="14.3046875" style="14" customWidth="1"/>
    <col min="1540" max="1540" width="8" style="14" customWidth="1"/>
    <col min="1541" max="1541" width="38" style="14" customWidth="1"/>
    <col min="1542" max="1542" width="48.07421875" style="14" customWidth="1"/>
    <col min="1543" max="1792" width="9" style="14"/>
    <col min="1793" max="1793" width="28.07421875" style="14" customWidth="1"/>
    <col min="1794" max="1794" width="10" style="14" customWidth="1"/>
    <col min="1795" max="1795" width="14.3046875" style="14" customWidth="1"/>
    <col min="1796" max="1796" width="8" style="14" customWidth="1"/>
    <col min="1797" max="1797" width="38" style="14" customWidth="1"/>
    <col min="1798" max="1798" width="48.07421875" style="14" customWidth="1"/>
    <col min="1799" max="2048" width="9" style="14"/>
    <col min="2049" max="2049" width="28.07421875" style="14" customWidth="1"/>
    <col min="2050" max="2050" width="10" style="14" customWidth="1"/>
    <col min="2051" max="2051" width="14.3046875" style="14" customWidth="1"/>
    <col min="2052" max="2052" width="8" style="14" customWidth="1"/>
    <col min="2053" max="2053" width="38" style="14" customWidth="1"/>
    <col min="2054" max="2054" width="48.07421875" style="14" customWidth="1"/>
    <col min="2055" max="2304" width="9" style="14"/>
    <col min="2305" max="2305" width="28.07421875" style="14" customWidth="1"/>
    <col min="2306" max="2306" width="10" style="14" customWidth="1"/>
    <col min="2307" max="2307" width="14.3046875" style="14" customWidth="1"/>
    <col min="2308" max="2308" width="8" style="14" customWidth="1"/>
    <col min="2309" max="2309" width="38" style="14" customWidth="1"/>
    <col min="2310" max="2310" width="48.07421875" style="14" customWidth="1"/>
    <col min="2311" max="2560" width="9" style="14"/>
    <col min="2561" max="2561" width="28.07421875" style="14" customWidth="1"/>
    <col min="2562" max="2562" width="10" style="14" customWidth="1"/>
    <col min="2563" max="2563" width="14.3046875" style="14" customWidth="1"/>
    <col min="2564" max="2564" width="8" style="14" customWidth="1"/>
    <col min="2565" max="2565" width="38" style="14" customWidth="1"/>
    <col min="2566" max="2566" width="48.07421875" style="14" customWidth="1"/>
    <col min="2567" max="2816" width="9" style="14"/>
    <col min="2817" max="2817" width="28.07421875" style="14" customWidth="1"/>
    <col min="2818" max="2818" width="10" style="14" customWidth="1"/>
    <col min="2819" max="2819" width="14.3046875" style="14" customWidth="1"/>
    <col min="2820" max="2820" width="8" style="14" customWidth="1"/>
    <col min="2821" max="2821" width="38" style="14" customWidth="1"/>
    <col min="2822" max="2822" width="48.07421875" style="14" customWidth="1"/>
    <col min="2823" max="3072" width="9" style="14"/>
    <col min="3073" max="3073" width="28.07421875" style="14" customWidth="1"/>
    <col min="3074" max="3074" width="10" style="14" customWidth="1"/>
    <col min="3075" max="3075" width="14.3046875" style="14" customWidth="1"/>
    <col min="3076" max="3076" width="8" style="14" customWidth="1"/>
    <col min="3077" max="3077" width="38" style="14" customWidth="1"/>
    <col min="3078" max="3078" width="48.07421875" style="14" customWidth="1"/>
    <col min="3079" max="3328" width="9" style="14"/>
    <col min="3329" max="3329" width="28.07421875" style="14" customWidth="1"/>
    <col min="3330" max="3330" width="10" style="14" customWidth="1"/>
    <col min="3331" max="3331" width="14.3046875" style="14" customWidth="1"/>
    <col min="3332" max="3332" width="8" style="14" customWidth="1"/>
    <col min="3333" max="3333" width="38" style="14" customWidth="1"/>
    <col min="3334" max="3334" width="48.07421875" style="14" customWidth="1"/>
    <col min="3335" max="3584" width="9" style="14"/>
    <col min="3585" max="3585" width="28.07421875" style="14" customWidth="1"/>
    <col min="3586" max="3586" width="10" style="14" customWidth="1"/>
    <col min="3587" max="3587" width="14.3046875" style="14" customWidth="1"/>
    <col min="3588" max="3588" width="8" style="14" customWidth="1"/>
    <col min="3589" max="3589" width="38" style="14" customWidth="1"/>
    <col min="3590" max="3590" width="48.07421875" style="14" customWidth="1"/>
    <col min="3591" max="3840" width="9" style="14"/>
    <col min="3841" max="3841" width="28.07421875" style="14" customWidth="1"/>
    <col min="3842" max="3842" width="10" style="14" customWidth="1"/>
    <col min="3843" max="3843" width="14.3046875" style="14" customWidth="1"/>
    <col min="3844" max="3844" width="8" style="14" customWidth="1"/>
    <col min="3845" max="3845" width="38" style="14" customWidth="1"/>
    <col min="3846" max="3846" width="48.07421875" style="14" customWidth="1"/>
    <col min="3847" max="4096" width="9" style="14"/>
    <col min="4097" max="4097" width="28.07421875" style="14" customWidth="1"/>
    <col min="4098" max="4098" width="10" style="14" customWidth="1"/>
    <col min="4099" max="4099" width="14.3046875" style="14" customWidth="1"/>
    <col min="4100" max="4100" width="8" style="14" customWidth="1"/>
    <col min="4101" max="4101" width="38" style="14" customWidth="1"/>
    <col min="4102" max="4102" width="48.07421875" style="14" customWidth="1"/>
    <col min="4103" max="4352" width="9" style="14"/>
    <col min="4353" max="4353" width="28.07421875" style="14" customWidth="1"/>
    <col min="4354" max="4354" width="10" style="14" customWidth="1"/>
    <col min="4355" max="4355" width="14.3046875" style="14" customWidth="1"/>
    <col min="4356" max="4356" width="8" style="14" customWidth="1"/>
    <col min="4357" max="4357" width="38" style="14" customWidth="1"/>
    <col min="4358" max="4358" width="48.07421875" style="14" customWidth="1"/>
    <col min="4359" max="4608" width="9" style="14"/>
    <col min="4609" max="4609" width="28.07421875" style="14" customWidth="1"/>
    <col min="4610" max="4610" width="10" style="14" customWidth="1"/>
    <col min="4611" max="4611" width="14.3046875" style="14" customWidth="1"/>
    <col min="4612" max="4612" width="8" style="14" customWidth="1"/>
    <col min="4613" max="4613" width="38" style="14" customWidth="1"/>
    <col min="4614" max="4614" width="48.07421875" style="14" customWidth="1"/>
    <col min="4615" max="4864" width="9" style="14"/>
    <col min="4865" max="4865" width="28.07421875" style="14" customWidth="1"/>
    <col min="4866" max="4866" width="10" style="14" customWidth="1"/>
    <col min="4867" max="4867" width="14.3046875" style="14" customWidth="1"/>
    <col min="4868" max="4868" width="8" style="14" customWidth="1"/>
    <col min="4869" max="4869" width="38" style="14" customWidth="1"/>
    <col min="4870" max="4870" width="48.07421875" style="14" customWidth="1"/>
    <col min="4871" max="5120" width="9" style="14"/>
    <col min="5121" max="5121" width="28.07421875" style="14" customWidth="1"/>
    <col min="5122" max="5122" width="10" style="14" customWidth="1"/>
    <col min="5123" max="5123" width="14.3046875" style="14" customWidth="1"/>
    <col min="5124" max="5124" width="8" style="14" customWidth="1"/>
    <col min="5125" max="5125" width="38" style="14" customWidth="1"/>
    <col min="5126" max="5126" width="48.07421875" style="14" customWidth="1"/>
    <col min="5127" max="5376" width="9" style="14"/>
    <col min="5377" max="5377" width="28.07421875" style="14" customWidth="1"/>
    <col min="5378" max="5378" width="10" style="14" customWidth="1"/>
    <col min="5379" max="5379" width="14.3046875" style="14" customWidth="1"/>
    <col min="5380" max="5380" width="8" style="14" customWidth="1"/>
    <col min="5381" max="5381" width="38" style="14" customWidth="1"/>
    <col min="5382" max="5382" width="48.07421875" style="14" customWidth="1"/>
    <col min="5383" max="5632" width="9" style="14"/>
    <col min="5633" max="5633" width="28.07421875" style="14" customWidth="1"/>
    <col min="5634" max="5634" width="10" style="14" customWidth="1"/>
    <col min="5635" max="5635" width="14.3046875" style="14" customWidth="1"/>
    <col min="5636" max="5636" width="8" style="14" customWidth="1"/>
    <col min="5637" max="5637" width="38" style="14" customWidth="1"/>
    <col min="5638" max="5638" width="48.07421875" style="14" customWidth="1"/>
    <col min="5639" max="5888" width="9" style="14"/>
    <col min="5889" max="5889" width="28.07421875" style="14" customWidth="1"/>
    <col min="5890" max="5890" width="10" style="14" customWidth="1"/>
    <col min="5891" max="5891" width="14.3046875" style="14" customWidth="1"/>
    <col min="5892" max="5892" width="8" style="14" customWidth="1"/>
    <col min="5893" max="5893" width="38" style="14" customWidth="1"/>
    <col min="5894" max="5894" width="48.07421875" style="14" customWidth="1"/>
    <col min="5895" max="6144" width="9" style="14"/>
    <col min="6145" max="6145" width="28.07421875" style="14" customWidth="1"/>
    <col min="6146" max="6146" width="10" style="14" customWidth="1"/>
    <col min="6147" max="6147" width="14.3046875" style="14" customWidth="1"/>
    <col min="6148" max="6148" width="8" style="14" customWidth="1"/>
    <col min="6149" max="6149" width="38" style="14" customWidth="1"/>
    <col min="6150" max="6150" width="48.07421875" style="14" customWidth="1"/>
    <col min="6151" max="6400" width="9" style="14"/>
    <col min="6401" max="6401" width="28.07421875" style="14" customWidth="1"/>
    <col min="6402" max="6402" width="10" style="14" customWidth="1"/>
    <col min="6403" max="6403" width="14.3046875" style="14" customWidth="1"/>
    <col min="6404" max="6404" width="8" style="14" customWidth="1"/>
    <col min="6405" max="6405" width="38" style="14" customWidth="1"/>
    <col min="6406" max="6406" width="48.07421875" style="14" customWidth="1"/>
    <col min="6407" max="6656" width="9" style="14"/>
    <col min="6657" max="6657" width="28.07421875" style="14" customWidth="1"/>
    <col min="6658" max="6658" width="10" style="14" customWidth="1"/>
    <col min="6659" max="6659" width="14.3046875" style="14" customWidth="1"/>
    <col min="6660" max="6660" width="8" style="14" customWidth="1"/>
    <col min="6661" max="6661" width="38" style="14" customWidth="1"/>
    <col min="6662" max="6662" width="48.07421875" style="14" customWidth="1"/>
    <col min="6663" max="6912" width="9" style="14"/>
    <col min="6913" max="6913" width="28.07421875" style="14" customWidth="1"/>
    <col min="6914" max="6914" width="10" style="14" customWidth="1"/>
    <col min="6915" max="6915" width="14.3046875" style="14" customWidth="1"/>
    <col min="6916" max="6916" width="8" style="14" customWidth="1"/>
    <col min="6917" max="6917" width="38" style="14" customWidth="1"/>
    <col min="6918" max="6918" width="48.07421875" style="14" customWidth="1"/>
    <col min="6919" max="7168" width="9" style="14"/>
    <col min="7169" max="7169" width="28.07421875" style="14" customWidth="1"/>
    <col min="7170" max="7170" width="10" style="14" customWidth="1"/>
    <col min="7171" max="7171" width="14.3046875" style="14" customWidth="1"/>
    <col min="7172" max="7172" width="8" style="14" customWidth="1"/>
    <col min="7173" max="7173" width="38" style="14" customWidth="1"/>
    <col min="7174" max="7174" width="48.07421875" style="14" customWidth="1"/>
    <col min="7175" max="7424" width="9" style="14"/>
    <col min="7425" max="7425" width="28.07421875" style="14" customWidth="1"/>
    <col min="7426" max="7426" width="10" style="14" customWidth="1"/>
    <col min="7427" max="7427" width="14.3046875" style="14" customWidth="1"/>
    <col min="7428" max="7428" width="8" style="14" customWidth="1"/>
    <col min="7429" max="7429" width="38" style="14" customWidth="1"/>
    <col min="7430" max="7430" width="48.07421875" style="14" customWidth="1"/>
    <col min="7431" max="7680" width="9" style="14"/>
    <col min="7681" max="7681" width="28.07421875" style="14" customWidth="1"/>
    <col min="7682" max="7682" width="10" style="14" customWidth="1"/>
    <col min="7683" max="7683" width="14.3046875" style="14" customWidth="1"/>
    <col min="7684" max="7684" width="8" style="14" customWidth="1"/>
    <col min="7685" max="7685" width="38" style="14" customWidth="1"/>
    <col min="7686" max="7686" width="48.07421875" style="14" customWidth="1"/>
    <col min="7687" max="7936" width="9" style="14"/>
    <col min="7937" max="7937" width="28.07421875" style="14" customWidth="1"/>
    <col min="7938" max="7938" width="10" style="14" customWidth="1"/>
    <col min="7939" max="7939" width="14.3046875" style="14" customWidth="1"/>
    <col min="7940" max="7940" width="8" style="14" customWidth="1"/>
    <col min="7941" max="7941" width="38" style="14" customWidth="1"/>
    <col min="7942" max="7942" width="48.07421875" style="14" customWidth="1"/>
    <col min="7943" max="8192" width="9" style="14"/>
    <col min="8193" max="8193" width="28.07421875" style="14" customWidth="1"/>
    <col min="8194" max="8194" width="10" style="14" customWidth="1"/>
    <col min="8195" max="8195" width="14.3046875" style="14" customWidth="1"/>
    <col min="8196" max="8196" width="8" style="14" customWidth="1"/>
    <col min="8197" max="8197" width="38" style="14" customWidth="1"/>
    <col min="8198" max="8198" width="48.07421875" style="14" customWidth="1"/>
    <col min="8199" max="8448" width="9" style="14"/>
    <col min="8449" max="8449" width="28.07421875" style="14" customWidth="1"/>
    <col min="8450" max="8450" width="10" style="14" customWidth="1"/>
    <col min="8451" max="8451" width="14.3046875" style="14" customWidth="1"/>
    <col min="8452" max="8452" width="8" style="14" customWidth="1"/>
    <col min="8453" max="8453" width="38" style="14" customWidth="1"/>
    <col min="8454" max="8454" width="48.07421875" style="14" customWidth="1"/>
    <col min="8455" max="8704" width="9" style="14"/>
    <col min="8705" max="8705" width="28.07421875" style="14" customWidth="1"/>
    <col min="8706" max="8706" width="10" style="14" customWidth="1"/>
    <col min="8707" max="8707" width="14.3046875" style="14" customWidth="1"/>
    <col min="8708" max="8708" width="8" style="14" customWidth="1"/>
    <col min="8709" max="8709" width="38" style="14" customWidth="1"/>
    <col min="8710" max="8710" width="48.07421875" style="14" customWidth="1"/>
    <col min="8711" max="8960" width="9" style="14"/>
    <col min="8961" max="8961" width="28.07421875" style="14" customWidth="1"/>
    <col min="8962" max="8962" width="10" style="14" customWidth="1"/>
    <col min="8963" max="8963" width="14.3046875" style="14" customWidth="1"/>
    <col min="8964" max="8964" width="8" style="14" customWidth="1"/>
    <col min="8965" max="8965" width="38" style="14" customWidth="1"/>
    <col min="8966" max="8966" width="48.07421875" style="14" customWidth="1"/>
    <col min="8967" max="9216" width="9" style="14"/>
    <col min="9217" max="9217" width="28.07421875" style="14" customWidth="1"/>
    <col min="9218" max="9218" width="10" style="14" customWidth="1"/>
    <col min="9219" max="9219" width="14.3046875" style="14" customWidth="1"/>
    <col min="9220" max="9220" width="8" style="14" customWidth="1"/>
    <col min="9221" max="9221" width="38" style="14" customWidth="1"/>
    <col min="9222" max="9222" width="48.07421875" style="14" customWidth="1"/>
    <col min="9223" max="9472" width="9" style="14"/>
    <col min="9473" max="9473" width="28.07421875" style="14" customWidth="1"/>
    <col min="9474" max="9474" width="10" style="14" customWidth="1"/>
    <col min="9475" max="9475" width="14.3046875" style="14" customWidth="1"/>
    <col min="9476" max="9476" width="8" style="14" customWidth="1"/>
    <col min="9477" max="9477" width="38" style="14" customWidth="1"/>
    <col min="9478" max="9478" width="48.07421875" style="14" customWidth="1"/>
    <col min="9479" max="9728" width="9" style="14"/>
    <col min="9729" max="9729" width="28.07421875" style="14" customWidth="1"/>
    <col min="9730" max="9730" width="10" style="14" customWidth="1"/>
    <col min="9731" max="9731" width="14.3046875" style="14" customWidth="1"/>
    <col min="9732" max="9732" width="8" style="14" customWidth="1"/>
    <col min="9733" max="9733" width="38" style="14" customWidth="1"/>
    <col min="9734" max="9734" width="48.07421875" style="14" customWidth="1"/>
    <col min="9735" max="9984" width="9" style="14"/>
    <col min="9985" max="9985" width="28.07421875" style="14" customWidth="1"/>
    <col min="9986" max="9986" width="10" style="14" customWidth="1"/>
    <col min="9987" max="9987" width="14.3046875" style="14" customWidth="1"/>
    <col min="9988" max="9988" width="8" style="14" customWidth="1"/>
    <col min="9989" max="9989" width="38" style="14" customWidth="1"/>
    <col min="9990" max="9990" width="48.07421875" style="14" customWidth="1"/>
    <col min="9991" max="10240" width="9" style="14"/>
    <col min="10241" max="10241" width="28.07421875" style="14" customWidth="1"/>
    <col min="10242" max="10242" width="10" style="14" customWidth="1"/>
    <col min="10243" max="10243" width="14.3046875" style="14" customWidth="1"/>
    <col min="10244" max="10244" width="8" style="14" customWidth="1"/>
    <col min="10245" max="10245" width="38" style="14" customWidth="1"/>
    <col min="10246" max="10246" width="48.07421875" style="14" customWidth="1"/>
    <col min="10247" max="10496" width="9" style="14"/>
    <col min="10497" max="10497" width="28.07421875" style="14" customWidth="1"/>
    <col min="10498" max="10498" width="10" style="14" customWidth="1"/>
    <col min="10499" max="10499" width="14.3046875" style="14" customWidth="1"/>
    <col min="10500" max="10500" width="8" style="14" customWidth="1"/>
    <col min="10501" max="10501" width="38" style="14" customWidth="1"/>
    <col min="10502" max="10502" width="48.07421875" style="14" customWidth="1"/>
    <col min="10503" max="10752" width="9" style="14"/>
    <col min="10753" max="10753" width="28.07421875" style="14" customWidth="1"/>
    <col min="10754" max="10754" width="10" style="14" customWidth="1"/>
    <col min="10755" max="10755" width="14.3046875" style="14" customWidth="1"/>
    <col min="10756" max="10756" width="8" style="14" customWidth="1"/>
    <col min="10757" max="10757" width="38" style="14" customWidth="1"/>
    <col min="10758" max="10758" width="48.07421875" style="14" customWidth="1"/>
    <col min="10759" max="11008" width="9" style="14"/>
    <col min="11009" max="11009" width="28.07421875" style="14" customWidth="1"/>
    <col min="11010" max="11010" width="10" style="14" customWidth="1"/>
    <col min="11011" max="11011" width="14.3046875" style="14" customWidth="1"/>
    <col min="11012" max="11012" width="8" style="14" customWidth="1"/>
    <col min="11013" max="11013" width="38" style="14" customWidth="1"/>
    <col min="11014" max="11014" width="48.07421875" style="14" customWidth="1"/>
    <col min="11015" max="11264" width="9" style="14"/>
    <col min="11265" max="11265" width="28.07421875" style="14" customWidth="1"/>
    <col min="11266" max="11266" width="10" style="14" customWidth="1"/>
    <col min="11267" max="11267" width="14.3046875" style="14" customWidth="1"/>
    <col min="11268" max="11268" width="8" style="14" customWidth="1"/>
    <col min="11269" max="11269" width="38" style="14" customWidth="1"/>
    <col min="11270" max="11270" width="48.07421875" style="14" customWidth="1"/>
    <col min="11271" max="11520" width="9" style="14"/>
    <col min="11521" max="11521" width="28.07421875" style="14" customWidth="1"/>
    <col min="11522" max="11522" width="10" style="14" customWidth="1"/>
    <col min="11523" max="11523" width="14.3046875" style="14" customWidth="1"/>
    <col min="11524" max="11524" width="8" style="14" customWidth="1"/>
    <col min="11525" max="11525" width="38" style="14" customWidth="1"/>
    <col min="11526" max="11526" width="48.07421875" style="14" customWidth="1"/>
    <col min="11527" max="11776" width="9" style="14"/>
    <col min="11777" max="11777" width="28.07421875" style="14" customWidth="1"/>
    <col min="11778" max="11778" width="10" style="14" customWidth="1"/>
    <col min="11779" max="11779" width="14.3046875" style="14" customWidth="1"/>
    <col min="11780" max="11780" width="8" style="14" customWidth="1"/>
    <col min="11781" max="11781" width="38" style="14" customWidth="1"/>
    <col min="11782" max="11782" width="48.07421875" style="14" customWidth="1"/>
    <col min="11783" max="12032" width="9" style="14"/>
    <col min="12033" max="12033" width="28.07421875" style="14" customWidth="1"/>
    <col min="12034" max="12034" width="10" style="14" customWidth="1"/>
    <col min="12035" max="12035" width="14.3046875" style="14" customWidth="1"/>
    <col min="12036" max="12036" width="8" style="14" customWidth="1"/>
    <col min="12037" max="12037" width="38" style="14" customWidth="1"/>
    <col min="12038" max="12038" width="48.07421875" style="14" customWidth="1"/>
    <col min="12039" max="12288" width="9" style="14"/>
    <col min="12289" max="12289" width="28.07421875" style="14" customWidth="1"/>
    <col min="12290" max="12290" width="10" style="14" customWidth="1"/>
    <col min="12291" max="12291" width="14.3046875" style="14" customWidth="1"/>
    <col min="12292" max="12292" width="8" style="14" customWidth="1"/>
    <col min="12293" max="12293" width="38" style="14" customWidth="1"/>
    <col min="12294" max="12294" width="48.07421875" style="14" customWidth="1"/>
    <col min="12295" max="12544" width="9" style="14"/>
    <col min="12545" max="12545" width="28.07421875" style="14" customWidth="1"/>
    <col min="12546" max="12546" width="10" style="14" customWidth="1"/>
    <col min="12547" max="12547" width="14.3046875" style="14" customWidth="1"/>
    <col min="12548" max="12548" width="8" style="14" customWidth="1"/>
    <col min="12549" max="12549" width="38" style="14" customWidth="1"/>
    <col min="12550" max="12550" width="48.07421875" style="14" customWidth="1"/>
    <col min="12551" max="12800" width="9" style="14"/>
    <col min="12801" max="12801" width="28.07421875" style="14" customWidth="1"/>
    <col min="12802" max="12802" width="10" style="14" customWidth="1"/>
    <col min="12803" max="12803" width="14.3046875" style="14" customWidth="1"/>
    <col min="12804" max="12804" width="8" style="14" customWidth="1"/>
    <col min="12805" max="12805" width="38" style="14" customWidth="1"/>
    <col min="12806" max="12806" width="48.07421875" style="14" customWidth="1"/>
    <col min="12807" max="13056" width="9" style="14"/>
    <col min="13057" max="13057" width="28.07421875" style="14" customWidth="1"/>
    <col min="13058" max="13058" width="10" style="14" customWidth="1"/>
    <col min="13059" max="13059" width="14.3046875" style="14" customWidth="1"/>
    <col min="13060" max="13060" width="8" style="14" customWidth="1"/>
    <col min="13061" max="13061" width="38" style="14" customWidth="1"/>
    <col min="13062" max="13062" width="48.07421875" style="14" customWidth="1"/>
    <col min="13063" max="13312" width="9" style="14"/>
    <col min="13313" max="13313" width="28.07421875" style="14" customWidth="1"/>
    <col min="13314" max="13314" width="10" style="14" customWidth="1"/>
    <col min="13315" max="13315" width="14.3046875" style="14" customWidth="1"/>
    <col min="13316" max="13316" width="8" style="14" customWidth="1"/>
    <col min="13317" max="13317" width="38" style="14" customWidth="1"/>
    <col min="13318" max="13318" width="48.07421875" style="14" customWidth="1"/>
    <col min="13319" max="13568" width="9" style="14"/>
    <col min="13569" max="13569" width="28.07421875" style="14" customWidth="1"/>
    <col min="13570" max="13570" width="10" style="14" customWidth="1"/>
    <col min="13571" max="13571" width="14.3046875" style="14" customWidth="1"/>
    <col min="13572" max="13572" width="8" style="14" customWidth="1"/>
    <col min="13573" max="13573" width="38" style="14" customWidth="1"/>
    <col min="13574" max="13574" width="48.07421875" style="14" customWidth="1"/>
    <col min="13575" max="13824" width="9" style="14"/>
    <col min="13825" max="13825" width="28.07421875" style="14" customWidth="1"/>
    <col min="13826" max="13826" width="10" style="14" customWidth="1"/>
    <col min="13827" max="13827" width="14.3046875" style="14" customWidth="1"/>
    <col min="13828" max="13828" width="8" style="14" customWidth="1"/>
    <col min="13829" max="13829" width="38" style="14" customWidth="1"/>
    <col min="13830" max="13830" width="48.07421875" style="14" customWidth="1"/>
    <col min="13831" max="14080" width="9" style="14"/>
    <col min="14081" max="14081" width="28.07421875" style="14" customWidth="1"/>
    <col min="14082" max="14082" width="10" style="14" customWidth="1"/>
    <col min="14083" max="14083" width="14.3046875" style="14" customWidth="1"/>
    <col min="14084" max="14084" width="8" style="14" customWidth="1"/>
    <col min="14085" max="14085" width="38" style="14" customWidth="1"/>
    <col min="14086" max="14086" width="48.07421875" style="14" customWidth="1"/>
    <col min="14087" max="14336" width="9" style="14"/>
    <col min="14337" max="14337" width="28.07421875" style="14" customWidth="1"/>
    <col min="14338" max="14338" width="10" style="14" customWidth="1"/>
    <col min="14339" max="14339" width="14.3046875" style="14" customWidth="1"/>
    <col min="14340" max="14340" width="8" style="14" customWidth="1"/>
    <col min="14341" max="14341" width="38" style="14" customWidth="1"/>
    <col min="14342" max="14342" width="48.07421875" style="14" customWidth="1"/>
    <col min="14343" max="14592" width="9" style="14"/>
    <col min="14593" max="14593" width="28.07421875" style="14" customWidth="1"/>
    <col min="14594" max="14594" width="10" style="14" customWidth="1"/>
    <col min="14595" max="14595" width="14.3046875" style="14" customWidth="1"/>
    <col min="14596" max="14596" width="8" style="14" customWidth="1"/>
    <col min="14597" max="14597" width="38" style="14" customWidth="1"/>
    <col min="14598" max="14598" width="48.07421875" style="14" customWidth="1"/>
    <col min="14599" max="14848" width="9" style="14"/>
    <col min="14849" max="14849" width="28.07421875" style="14" customWidth="1"/>
    <col min="14850" max="14850" width="10" style="14" customWidth="1"/>
    <col min="14851" max="14851" width="14.3046875" style="14" customWidth="1"/>
    <col min="14852" max="14852" width="8" style="14" customWidth="1"/>
    <col min="14853" max="14853" width="38" style="14" customWidth="1"/>
    <col min="14854" max="14854" width="48.07421875" style="14" customWidth="1"/>
    <col min="14855" max="15104" width="9" style="14"/>
    <col min="15105" max="15105" width="28.07421875" style="14" customWidth="1"/>
    <col min="15106" max="15106" width="10" style="14" customWidth="1"/>
    <col min="15107" max="15107" width="14.3046875" style="14" customWidth="1"/>
    <col min="15108" max="15108" width="8" style="14" customWidth="1"/>
    <col min="15109" max="15109" width="38" style="14" customWidth="1"/>
    <col min="15110" max="15110" width="48.07421875" style="14" customWidth="1"/>
    <col min="15111" max="15360" width="9" style="14"/>
    <col min="15361" max="15361" width="28.07421875" style="14" customWidth="1"/>
    <col min="15362" max="15362" width="10" style="14" customWidth="1"/>
    <col min="15363" max="15363" width="14.3046875" style="14" customWidth="1"/>
    <col min="15364" max="15364" width="8" style="14" customWidth="1"/>
    <col min="15365" max="15365" width="38" style="14" customWidth="1"/>
    <col min="15366" max="15366" width="48.07421875" style="14" customWidth="1"/>
    <col min="15367" max="15616" width="9" style="14"/>
    <col min="15617" max="15617" width="28.07421875" style="14" customWidth="1"/>
    <col min="15618" max="15618" width="10" style="14" customWidth="1"/>
    <col min="15619" max="15619" width="14.3046875" style="14" customWidth="1"/>
    <col min="15620" max="15620" width="8" style="14" customWidth="1"/>
    <col min="15621" max="15621" width="38" style="14" customWidth="1"/>
    <col min="15622" max="15622" width="48.07421875" style="14" customWidth="1"/>
    <col min="15623" max="15872" width="9" style="14"/>
    <col min="15873" max="15873" width="28.07421875" style="14" customWidth="1"/>
    <col min="15874" max="15874" width="10" style="14" customWidth="1"/>
    <col min="15875" max="15875" width="14.3046875" style="14" customWidth="1"/>
    <col min="15876" max="15876" width="8" style="14" customWidth="1"/>
    <col min="15877" max="15877" width="38" style="14" customWidth="1"/>
    <col min="15878" max="15878" width="48.07421875" style="14" customWidth="1"/>
    <col min="15879" max="16128" width="9" style="14"/>
    <col min="16129" max="16129" width="28.07421875" style="14" customWidth="1"/>
    <col min="16130" max="16130" width="10" style="14" customWidth="1"/>
    <col min="16131" max="16131" width="14.3046875" style="14" customWidth="1"/>
    <col min="16132" max="16132" width="8" style="14" customWidth="1"/>
    <col min="16133" max="16133" width="38" style="14" customWidth="1"/>
    <col min="16134" max="16134" width="48.07421875" style="14" customWidth="1"/>
    <col min="16135" max="16384" width="9" style="14"/>
  </cols>
  <sheetData>
    <row r="2" spans="1:6" s="16" customFormat="1" ht="75.75" customHeight="1">
      <c r="A2" s="15"/>
      <c r="B2" s="10" t="s">
        <v>0</v>
      </c>
      <c r="C2" s="10"/>
      <c r="D2" s="10"/>
      <c r="E2" s="10"/>
      <c r="F2" s="10"/>
    </row>
    <row r="3" spans="1:6" ht="12.75" customHeight="1">
      <c r="A3" s="17"/>
      <c r="B3" s="18"/>
      <c r="E3" s="19"/>
    </row>
    <row r="4" spans="1:6" ht="14.25" customHeight="1">
      <c r="A4" s="20" t="s">
        <v>1</v>
      </c>
      <c r="B4" s="9" t="s">
        <v>2</v>
      </c>
      <c r="C4" s="9"/>
      <c r="D4" s="9"/>
      <c r="E4" s="20" t="s">
        <v>3</v>
      </c>
      <c r="F4" s="21" t="s">
        <v>4</v>
      </c>
    </row>
    <row r="5" spans="1:6" ht="14.25" customHeight="1">
      <c r="A5" s="20" t="s">
        <v>5</v>
      </c>
      <c r="B5" s="9" t="s">
        <v>6</v>
      </c>
      <c r="C5" s="9"/>
      <c r="D5" s="9"/>
      <c r="E5" s="20" t="s">
        <v>7</v>
      </c>
      <c r="F5" s="22">
        <v>46214</v>
      </c>
    </row>
    <row r="6" spans="1:6" ht="15.75" customHeight="1">
      <c r="A6" s="23" t="s">
        <v>8</v>
      </c>
      <c r="B6" s="8" t="str">
        <f>B5&amp;"_"&amp;"Test Report"&amp;"_"&amp;"v1.0"</f>
        <v>UEMS_Test Report_v1.0</v>
      </c>
      <c r="C6" s="8"/>
      <c r="D6" s="8"/>
      <c r="E6" s="20" t="s">
        <v>9</v>
      </c>
      <c r="F6" s="24" t="s">
        <v>10</v>
      </c>
    </row>
    <row r="7" spans="1:6" ht="12.75" customHeight="1">
      <c r="A7" s="25"/>
      <c r="B7" s="26"/>
      <c r="E7" s="27"/>
      <c r="F7" s="18"/>
    </row>
    <row r="8" spans="1:6" ht="12.75" customHeight="1">
      <c r="A8" s="14"/>
    </row>
    <row r="9" spans="1:6" ht="12.75" customHeight="1">
      <c r="A9" s="28" t="s">
        <v>11</v>
      </c>
    </row>
    <row r="10" spans="1:6" s="32" customFormat="1" ht="12.75" customHeight="1">
      <c r="A10" s="29" t="s">
        <v>12</v>
      </c>
      <c r="B10" s="30" t="s">
        <v>9</v>
      </c>
      <c r="C10" s="30" t="s">
        <v>13</v>
      </c>
      <c r="D10" s="30" t="s">
        <v>14</v>
      </c>
      <c r="E10" s="30" t="s">
        <v>15</v>
      </c>
      <c r="F10" s="31" t="s">
        <v>16</v>
      </c>
    </row>
    <row r="11" spans="1:6" s="38" customFormat="1" ht="26.25" customHeight="1">
      <c r="A11" s="33">
        <v>46193</v>
      </c>
      <c r="B11" s="34" t="s">
        <v>10</v>
      </c>
      <c r="C11" s="35" t="s">
        <v>17</v>
      </c>
      <c r="D11" s="35" t="s">
        <v>18</v>
      </c>
      <c r="E11" s="36" t="s">
        <v>19</v>
      </c>
      <c r="F11" s="37" t="s">
        <v>20</v>
      </c>
    </row>
    <row r="12" spans="1:6" s="38" customFormat="1" ht="21.75" customHeight="1">
      <c r="A12" s="33">
        <v>46201</v>
      </c>
      <c r="B12" s="34" t="s">
        <v>21</v>
      </c>
      <c r="C12" s="35" t="s">
        <v>17</v>
      </c>
      <c r="D12" s="35" t="s">
        <v>18</v>
      </c>
      <c r="E12" s="36" t="s">
        <v>22</v>
      </c>
      <c r="F12" s="37" t="s">
        <v>20</v>
      </c>
    </row>
    <row r="13" spans="1:6" s="38" customFormat="1" ht="19.5" customHeight="1">
      <c r="A13" s="33">
        <v>46208</v>
      </c>
      <c r="B13" s="34" t="s">
        <v>23</v>
      </c>
      <c r="C13" s="35" t="s">
        <v>17</v>
      </c>
      <c r="D13" s="35" t="s">
        <v>18</v>
      </c>
      <c r="E13" s="36" t="s">
        <v>24</v>
      </c>
      <c r="F13" s="37" t="s">
        <v>20</v>
      </c>
    </row>
    <row r="14" spans="1:6" s="38" customFormat="1" ht="21.75" customHeight="1">
      <c r="A14" s="33">
        <v>46214</v>
      </c>
      <c r="B14" s="34" t="s">
        <v>25</v>
      </c>
      <c r="C14" s="35" t="s">
        <v>4</v>
      </c>
      <c r="D14" s="35" t="s">
        <v>26</v>
      </c>
      <c r="E14" s="36" t="s">
        <v>27</v>
      </c>
      <c r="F14" s="37" t="s">
        <v>20</v>
      </c>
    </row>
    <row r="15" spans="1:6" s="38" customFormat="1" ht="19.5" customHeight="1">
      <c r="A15" s="39"/>
      <c r="B15" s="34"/>
      <c r="C15" s="35"/>
      <c r="D15" s="35"/>
      <c r="E15" s="35"/>
      <c r="F15" s="40"/>
    </row>
    <row r="16" spans="1:6" s="38" customFormat="1" ht="21.75" customHeight="1">
      <c r="A16" s="39"/>
      <c r="B16" s="34"/>
      <c r="C16" s="35"/>
      <c r="D16" s="35"/>
      <c r="E16" s="35"/>
      <c r="F16" s="40"/>
    </row>
    <row r="17" spans="1:6" s="38" customFormat="1" ht="19.5" customHeight="1">
      <c r="A17" s="41"/>
      <c r="B17" s="42"/>
      <c r="C17" s="43"/>
      <c r="D17" s="43"/>
      <c r="E17" s="43"/>
      <c r="F17" s="44"/>
    </row>
  </sheetData>
  <mergeCells count="4">
    <mergeCell ref="B2:F2"/>
    <mergeCell ref="B4:D4"/>
    <mergeCell ref="B5:D5"/>
    <mergeCell ref="B6:D6"/>
  </mergeCells>
  <pageMargins left="0.47013888888888899" right="0.47013888888888899" top="0.5" bottom="0.35138888888888897" header="0.511811023622047" footer="0.17013888888888901"/>
  <pageSetup paperSize="9" orientation="landscape" horizontalDpi="300" verticalDpi="300"/>
  <headerFooter>
    <oddFooter>&amp;L&amp;"Tahoma,Regular"&amp;8 02ae-BM/PM/HDCV/FSOFT v2/1&amp;C&amp;"Tahoma,Regular"&amp;8 Internal use&amp;R&amp;"tahomaTahoma,Regular"&amp;8 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tabSelected="1" zoomScaleNormal="100" workbookViewId="0">
      <selection activeCell="D5" sqref="D5:F5"/>
    </sheetView>
  </sheetViews>
  <sheetFormatPr defaultColWidth="9" defaultRowHeight="12.45"/>
  <cols>
    <col min="1" max="1" width="1.3046875" style="19" customWidth="1"/>
    <col min="2" max="2" width="11.765625" style="45" customWidth="1"/>
    <col min="3" max="3" width="26.4609375" style="46" customWidth="1"/>
    <col min="4" max="4" width="17.07421875" style="46" customWidth="1"/>
    <col min="5" max="5" width="28.07421875" style="46" customWidth="1"/>
    <col min="6" max="6" width="30.61328125" style="46" customWidth="1"/>
    <col min="7" max="16384" width="9" style="19"/>
  </cols>
  <sheetData>
    <row r="1" spans="2:6" ht="24" customHeight="1">
      <c r="B1" s="47"/>
      <c r="D1" s="48" t="s">
        <v>28</v>
      </c>
      <c r="E1" s="49"/>
    </row>
    <row r="2" spans="2:6" ht="13.5" customHeight="1">
      <c r="B2" s="47"/>
      <c r="D2" s="50"/>
      <c r="E2" s="50"/>
    </row>
    <row r="3" spans="2:6" ht="12.75" customHeight="1">
      <c r="B3" s="7" t="s">
        <v>1</v>
      </c>
      <c r="C3" s="7"/>
      <c r="D3" s="6" t="str">
        <f>+Cover!B4</f>
        <v>He thong Quan ly Su kien &amp; Ho tro AI</v>
      </c>
      <c r="E3" s="6"/>
      <c r="F3" s="6"/>
    </row>
    <row r="4" spans="2:6" ht="12.75" customHeight="1">
      <c r="B4" s="7" t="s">
        <v>5</v>
      </c>
      <c r="C4" s="7"/>
      <c r="D4" s="6" t="str">
        <f>+Cover!B5</f>
        <v>UEMS</v>
      </c>
      <c r="E4" s="6"/>
      <c r="F4" s="6"/>
    </row>
    <row r="5" spans="2:6" s="51" customFormat="1" ht="84.75" customHeight="1">
      <c r="B5" s="5" t="s">
        <v>29</v>
      </c>
      <c r="C5" s="5"/>
      <c r="D5" s="4" t="s">
        <v>30</v>
      </c>
      <c r="E5" s="4"/>
      <c r="F5" s="4"/>
    </row>
    <row r="6" spans="2:6" ht="12.75" customHeight="1">
      <c r="B6" s="52"/>
      <c r="C6" s="19"/>
      <c r="D6" s="19"/>
      <c r="E6" s="19"/>
      <c r="F6" s="19"/>
    </row>
    <row r="7" spans="2:6" s="53" customFormat="1" ht="12.75" customHeight="1">
      <c r="B7" s="54"/>
      <c r="C7" s="55"/>
      <c r="D7" s="55"/>
      <c r="E7" s="55"/>
      <c r="F7" s="55"/>
    </row>
    <row r="8" spans="2:6" s="56" customFormat="1" ht="21" customHeight="1">
      <c r="B8" s="57" t="s">
        <v>31</v>
      </c>
      <c r="C8" s="58" t="s">
        <v>32</v>
      </c>
      <c r="D8" s="58" t="s">
        <v>33</v>
      </c>
      <c r="E8" s="59" t="s">
        <v>34</v>
      </c>
      <c r="F8" s="60" t="s">
        <v>35</v>
      </c>
    </row>
    <row r="9" spans="2:6" ht="13.5" customHeight="1">
      <c r="B9" s="61">
        <v>1</v>
      </c>
      <c r="C9" s="62" t="str">
        <f>Authentication!B2</f>
        <v>Authentication</v>
      </c>
      <c r="D9" s="63" t="str">
        <f>C9</f>
        <v>Authentication</v>
      </c>
      <c r="E9" s="64" t="s">
        <v>36</v>
      </c>
      <c r="F9" s="65" t="s">
        <v>20</v>
      </c>
    </row>
    <row r="10" spans="2:6" ht="13.5" customHeight="1">
      <c r="B10" s="61">
        <v>2</v>
      </c>
      <c r="C10" s="62" t="str">
        <f>'Event Management'!B2</f>
        <v>Event Management</v>
      </c>
      <c r="D10" s="63" t="str">
        <f>C10</f>
        <v>Event Management</v>
      </c>
      <c r="E10" s="64" t="s">
        <v>37</v>
      </c>
      <c r="F10" s="65" t="s">
        <v>20</v>
      </c>
    </row>
    <row r="11" spans="2:6" ht="13.5" customHeight="1">
      <c r="B11" s="61">
        <v>3</v>
      </c>
      <c r="C11" s="62" t="str">
        <f>'Registration &amp; Ticketing'!B2</f>
        <v>Registration &amp; Ticketing</v>
      </c>
      <c r="D11" s="63" t="str">
        <f>C11</f>
        <v>Registration &amp; Ticketing</v>
      </c>
      <c r="E11" s="64" t="s">
        <v>38</v>
      </c>
      <c r="F11" s="65" t="s">
        <v>20</v>
      </c>
    </row>
    <row r="12" spans="2:6" ht="13.5" customHeight="1">
      <c r="B12" s="61">
        <v>4</v>
      </c>
      <c r="C12" s="62" t="str">
        <f>'Check-in &amp; QR'!B2</f>
        <v>Check-in &amp; QR</v>
      </c>
      <c r="D12" s="63" t="str">
        <f>C12</f>
        <v>Check-in &amp; QR</v>
      </c>
      <c r="E12" s="64" t="s">
        <v>39</v>
      </c>
      <c r="F12" s="65" t="s">
        <v>20</v>
      </c>
    </row>
    <row r="13" spans="2:6" ht="14.25" customHeight="1">
      <c r="B13" s="61">
        <v>5</v>
      </c>
      <c r="C13" s="62" t="s">
        <v>40</v>
      </c>
      <c r="D13" s="63" t="s">
        <v>41</v>
      </c>
      <c r="E13" s="64"/>
      <c r="F13" s="65"/>
    </row>
    <row r="14" spans="2:6" ht="12.75" customHeight="1">
      <c r="B14" s="61"/>
      <c r="C14" s="62"/>
      <c r="D14" s="66"/>
      <c r="E14" s="66"/>
      <c r="F14" s="65"/>
    </row>
    <row r="15" spans="2:6" ht="12.75" customHeight="1">
      <c r="B15" s="61"/>
      <c r="C15" s="62"/>
      <c r="D15" s="66"/>
      <c r="E15" s="66"/>
      <c r="F15" s="65"/>
    </row>
    <row r="16" spans="2:6" ht="12.75" customHeight="1">
      <c r="B16" s="61"/>
      <c r="C16" s="62"/>
      <c r="D16" s="66"/>
      <c r="E16" s="66"/>
      <c r="F16" s="65"/>
    </row>
    <row r="17" spans="2:6" ht="12.75" customHeight="1">
      <c r="B17" s="61"/>
      <c r="C17" s="62"/>
      <c r="D17" s="66"/>
      <c r="E17" s="66"/>
      <c r="F17" s="65"/>
    </row>
    <row r="18" spans="2:6" ht="12.75" customHeight="1">
      <c r="B18" s="61"/>
      <c r="C18" s="62"/>
      <c r="D18" s="66"/>
      <c r="E18" s="66"/>
      <c r="F18" s="65"/>
    </row>
    <row r="19" spans="2:6" ht="12.75" customHeight="1">
      <c r="B19" s="61"/>
      <c r="C19" s="62"/>
      <c r="D19" s="66"/>
      <c r="E19" s="66"/>
      <c r="F19" s="65"/>
    </row>
    <row r="20" spans="2:6" ht="12.75" customHeight="1">
      <c r="B20" s="61"/>
      <c r="C20" s="62"/>
      <c r="D20" s="66"/>
      <c r="E20" s="66"/>
      <c r="F20" s="65"/>
    </row>
    <row r="21" spans="2:6" ht="12.75" customHeight="1">
      <c r="B21" s="67"/>
      <c r="C21" s="68"/>
      <c r="D21" s="69"/>
      <c r="E21" s="69"/>
      <c r="F21" s="70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Feature1!A1" display="#Feature1.A1" xr:uid="{00000000-0004-0000-0100-000000000000}"/>
    <hyperlink ref="D10" location="Feature2!A1" display="#Feature2.A1" xr:uid="{00000000-0004-0000-0100-000001000000}"/>
    <hyperlink ref="D11" location="Feature1!A1" display="#Feature1.A1" xr:uid="{00000000-0004-0000-0100-000002000000}"/>
    <hyperlink ref="D12" location="Feature2!A1" display="#Feature2.A1" xr:uid="{00000000-0004-0000-0100-000003000000}"/>
    <hyperlink ref="D13" location="Feature2!A1" display="Feature2" xr:uid="{00000000-0004-0000-0100-000004000000}"/>
  </hyperlinks>
  <pageMargins left="0.74791666666666701" right="0.74791666666666701" top="0.98402777777777795" bottom="1.15069444444444" header="0.511811023622047" footer="0.98402777777777795"/>
  <pageSetup paperSize="9" orientation="landscape" horizontalDpi="300" verticalDpi="300"/>
  <headerFooter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zoomScaleNormal="100" workbookViewId="0">
      <selection activeCell="C20" sqref="C20"/>
    </sheetView>
  </sheetViews>
  <sheetFormatPr defaultColWidth="9" defaultRowHeight="12.45"/>
  <cols>
    <col min="1" max="1" width="4.4609375" style="19" customWidth="1"/>
    <col min="2" max="2" width="18.3046875" style="19" customWidth="1"/>
    <col min="3" max="3" width="19.3046875" style="19" customWidth="1"/>
    <col min="4" max="6" width="11.61328125" style="19" customWidth="1"/>
    <col min="7" max="7" width="9" style="19"/>
    <col min="8" max="8" width="35.4609375" style="19" customWidth="1"/>
    <col min="9" max="9" width="33.07421875" style="19" customWidth="1"/>
    <col min="10" max="16384" width="9" style="19"/>
  </cols>
  <sheetData>
    <row r="1" spans="1:8" ht="25.5" customHeight="1">
      <c r="B1" s="3" t="s">
        <v>42</v>
      </c>
      <c r="C1" s="3"/>
      <c r="D1" s="3"/>
      <c r="E1" s="3"/>
      <c r="F1" s="3"/>
      <c r="G1" s="3"/>
      <c r="H1" s="3"/>
    </row>
    <row r="2" spans="1:8" ht="14.25" customHeight="1">
      <c r="A2" s="71"/>
      <c r="B2" s="71"/>
      <c r="H2" s="72"/>
    </row>
    <row r="3" spans="1:8" ht="12" customHeight="1">
      <c r="B3" s="73" t="s">
        <v>1</v>
      </c>
      <c r="C3" s="6" t="str">
        <f>+Cover!B4</f>
        <v>He thong Quan ly Su kien &amp; Ho tro AI</v>
      </c>
      <c r="D3" s="6"/>
      <c r="E3" s="2" t="s">
        <v>3</v>
      </c>
      <c r="F3" s="2"/>
      <c r="G3" s="74"/>
      <c r="H3" s="75" t="str">
        <f>+Cover!F4</f>
        <v>Tran Xuan Thuan</v>
      </c>
    </row>
    <row r="4" spans="1:8" ht="12" customHeight="1">
      <c r="B4" s="73" t="s">
        <v>5</v>
      </c>
      <c r="C4" s="6" t="str">
        <f>+Cover!B5</f>
        <v>UEMS</v>
      </c>
      <c r="D4" s="6"/>
      <c r="E4" s="2" t="s">
        <v>43</v>
      </c>
      <c r="F4" s="2"/>
      <c r="G4" s="74"/>
      <c r="H4" s="75" t="s">
        <v>17</v>
      </c>
    </row>
    <row r="5" spans="1:8" ht="12" customHeight="1">
      <c r="B5" s="76" t="s">
        <v>8</v>
      </c>
      <c r="C5" s="6" t="str">
        <f>+Cover!B6</f>
        <v>UEMS_Test Report_v1.0</v>
      </c>
      <c r="D5" s="6"/>
      <c r="E5" s="2" t="s">
        <v>7</v>
      </c>
      <c r="F5" s="2"/>
      <c r="G5" s="74"/>
      <c r="H5" s="77">
        <f>+Cover!F5</f>
        <v>46214</v>
      </c>
    </row>
    <row r="6" spans="1:8" ht="21.75" customHeight="1">
      <c r="A6" s="71"/>
      <c r="B6" s="76" t="s">
        <v>44</v>
      </c>
      <c r="C6" s="1" t="s">
        <v>45</v>
      </c>
      <c r="D6" s="1"/>
      <c r="E6" s="1"/>
      <c r="F6" s="1"/>
      <c r="G6" s="1"/>
      <c r="H6" s="1"/>
    </row>
    <row r="7" spans="1:8" ht="14.25" customHeight="1">
      <c r="A7" s="71"/>
      <c r="B7" s="78"/>
      <c r="C7" s="79"/>
      <c r="H7" s="72"/>
    </row>
    <row r="8" spans="1:8" ht="12.75" customHeight="1">
      <c r="B8" s="78"/>
      <c r="C8" s="79"/>
      <c r="H8" s="72"/>
    </row>
    <row r="10" spans="1:8" ht="12.75" customHeight="1">
      <c r="A10" s="80"/>
      <c r="B10" s="81" t="s">
        <v>31</v>
      </c>
      <c r="C10" s="82" t="s">
        <v>46</v>
      </c>
      <c r="D10" s="83" t="s">
        <v>47</v>
      </c>
      <c r="E10" s="82" t="s">
        <v>48</v>
      </c>
      <c r="F10" s="82" t="s">
        <v>49</v>
      </c>
      <c r="G10" s="84" t="s">
        <v>50</v>
      </c>
      <c r="H10" s="85" t="s">
        <v>51</v>
      </c>
    </row>
    <row r="11" spans="1:8" ht="12.75" customHeight="1">
      <c r="A11" s="80"/>
      <c r="B11" s="86">
        <v>1</v>
      </c>
      <c r="C11" s="87" t="str">
        <f>Authentication!B2</f>
        <v>Authentication</v>
      </c>
      <c r="D11" s="88">
        <f>Authentication!B6</f>
        <v>9</v>
      </c>
      <c r="E11" s="88">
        <f>Authentication!C6</f>
        <v>0</v>
      </c>
      <c r="F11" s="88">
        <f>Authentication!D6</f>
        <v>0</v>
      </c>
      <c r="G11" s="88">
        <f>Authentication!E6</f>
        <v>0</v>
      </c>
      <c r="H11" s="89">
        <f>Authentication!B4</f>
        <v>11</v>
      </c>
    </row>
    <row r="12" spans="1:8" ht="12.75" customHeight="1">
      <c r="A12" s="80"/>
      <c r="B12" s="86">
        <v>2</v>
      </c>
      <c r="C12" s="87" t="str">
        <f>'Event Management'!B2</f>
        <v>Event Management</v>
      </c>
      <c r="D12" s="88">
        <f>'Event Management'!B6</f>
        <v>8</v>
      </c>
      <c r="E12" s="88">
        <f>'Event Management'!C6</f>
        <v>0</v>
      </c>
      <c r="F12" s="88">
        <f>'Event Management'!D6</f>
        <v>0</v>
      </c>
      <c r="G12" s="88">
        <f>'Event Management'!E6</f>
        <v>0</v>
      </c>
      <c r="H12" s="88">
        <f>'Event Management'!B4</f>
        <v>10</v>
      </c>
    </row>
    <row r="13" spans="1:8" ht="12.75" customHeight="1">
      <c r="B13" s="86">
        <v>3</v>
      </c>
      <c r="C13" s="87" t="str">
        <f>'Registration &amp; Ticketing'!B2</f>
        <v>Registration &amp; Ticketing</v>
      </c>
      <c r="D13" s="88">
        <f>'Registration &amp; Ticketing'!B6</f>
        <v>7</v>
      </c>
      <c r="E13" s="88">
        <f>'Registration &amp; Ticketing'!C6</f>
        <v>0</v>
      </c>
      <c r="F13" s="88">
        <f>'Registration &amp; Ticketing'!D6</f>
        <v>0</v>
      </c>
      <c r="G13" s="88">
        <f>'Registration &amp; Ticketing'!E6</f>
        <v>0</v>
      </c>
      <c r="H13" s="89">
        <f>'Registration &amp; Ticketing'!B4</f>
        <v>8</v>
      </c>
    </row>
    <row r="14" spans="1:8" ht="12.75" customHeight="1">
      <c r="B14" s="86">
        <v>4</v>
      </c>
      <c r="C14" s="87" t="str">
        <f>'Check-in &amp; QR'!B2</f>
        <v>Check-in &amp; QR</v>
      </c>
      <c r="D14" s="88">
        <f>'Check-in &amp; QR'!B6</f>
        <v>5</v>
      </c>
      <c r="E14" s="88">
        <f>'Check-in &amp; QR'!C6</f>
        <v>0</v>
      </c>
      <c r="F14" s="88">
        <f>'Check-in &amp; QR'!D6</f>
        <v>0</v>
      </c>
      <c r="G14" s="88">
        <f>'Check-in &amp; QR'!E6</f>
        <v>0</v>
      </c>
      <c r="H14" s="89">
        <f>'Check-in &amp; QR'!B4</f>
        <v>6</v>
      </c>
    </row>
    <row r="15" spans="1:8" ht="12.75" customHeight="1">
      <c r="A15" s="80"/>
      <c r="B15" s="86"/>
      <c r="C15" s="87"/>
      <c r="D15" s="88"/>
      <c r="E15" s="88"/>
      <c r="F15" s="88"/>
      <c r="G15" s="90"/>
      <c r="H15" s="89"/>
    </row>
    <row r="16" spans="1:8" ht="12.75" customHeight="1">
      <c r="A16" s="80"/>
      <c r="B16" s="91"/>
      <c r="C16" s="92" t="s">
        <v>52</v>
      </c>
      <c r="D16" s="93">
        <f>SUM(D11:D15)</f>
        <v>29</v>
      </c>
      <c r="E16" s="93">
        <f>SUM(E11:E15)</f>
        <v>0</v>
      </c>
      <c r="F16" s="93">
        <f>SUM(F11:F15)</f>
        <v>0</v>
      </c>
      <c r="G16" s="93">
        <f>SUM(G11:G15)</f>
        <v>0</v>
      </c>
      <c r="H16" s="94">
        <f>SUM(H11:H15)</f>
        <v>35</v>
      </c>
    </row>
    <row r="17" spans="2:8" ht="12.75" customHeight="1">
      <c r="B17" s="95"/>
      <c r="D17" s="96"/>
      <c r="E17" s="97"/>
      <c r="F17" s="97"/>
      <c r="G17" s="97"/>
      <c r="H17" s="97"/>
    </row>
    <row r="18" spans="2:8" ht="12.75" customHeight="1">
      <c r="C18" s="98" t="s">
        <v>53</v>
      </c>
      <c r="E18" s="99">
        <f>(D16+E16)*100/(H16-G16)</f>
        <v>82.857142857142861</v>
      </c>
      <c r="F18" s="19" t="s">
        <v>54</v>
      </c>
      <c r="H18" s="100"/>
    </row>
    <row r="19" spans="2:8" ht="12.75" customHeight="1">
      <c r="C19" s="98" t="s">
        <v>55</v>
      </c>
      <c r="E19" s="99">
        <f>D16*100/(H16-G16)</f>
        <v>82.857142857142861</v>
      </c>
      <c r="F19" s="19" t="s">
        <v>54</v>
      </c>
      <c r="H19" s="100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4791666666666701" right="0.74791666666666701" top="0.98402777777777795" bottom="0.98402777777777795" header="0.511811023622047" footer="0.5"/>
  <pageSetup orientation="landscape" horizontalDpi="300" verticalDpi="300"/>
  <headerFooter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R22"/>
  <sheetViews>
    <sheetView zoomScale="85" zoomScaleNormal="85" workbookViewId="0">
      <pane ySplit="10" topLeftCell="A16" activePane="bottomLeft" state="frozen"/>
      <selection pane="bottomLeft" activeCell="C24" sqref="A1:XFD1048576"/>
    </sheetView>
  </sheetViews>
  <sheetFormatPr defaultColWidth="9" defaultRowHeight="12.45" outlineLevelRow="1" outlineLevelCol="1"/>
  <cols>
    <col min="1" max="1" width="17" style="124" customWidth="1"/>
    <col min="2" max="2" width="34.4609375" style="124" customWidth="1"/>
    <col min="3" max="3" width="34.07421875" style="124" customWidth="1"/>
    <col min="4" max="4" width="34.61328125" style="124" customWidth="1"/>
    <col min="5" max="5" width="28.3046875" style="124" customWidth="1"/>
    <col min="6" max="6" width="9.3046875" style="124" customWidth="1"/>
    <col min="7" max="7" width="13" style="124" customWidth="1" outlineLevel="1"/>
    <col min="8" max="8" width="7" style="124" customWidth="1" outlineLevel="1"/>
    <col min="9" max="9" width="9.3046875" style="124" customWidth="1"/>
    <col min="10" max="10" width="13" style="124" customWidth="1" outlineLevel="1"/>
    <col min="11" max="11" width="7" style="124" customWidth="1" outlineLevel="1"/>
    <col min="12" max="12" width="9.3046875" style="124" customWidth="1"/>
    <col min="13" max="13" width="13" style="124" customWidth="1" outlineLevel="1"/>
    <col min="14" max="14" width="7" style="124" customWidth="1" outlineLevel="1"/>
    <col min="15" max="15" width="28.61328125" style="124" customWidth="1"/>
    <col min="16" max="16" width="10.07421875" style="124" customWidth="1"/>
    <col min="17" max="17" width="8.07421875" style="130" customWidth="1"/>
    <col min="18" max="18" width="7.69140625" style="124" hidden="1" customWidth="1"/>
    <col min="19" max="16384" width="9" style="124"/>
  </cols>
  <sheetData>
    <row r="1" spans="1:18" ht="13.5" customHeight="1"/>
    <row r="2" spans="1:18" s="123" customFormat="1" ht="15" customHeight="1">
      <c r="A2" s="131" t="s">
        <v>56</v>
      </c>
      <c r="B2" s="132" t="s">
        <v>57</v>
      </c>
      <c r="C2" s="132"/>
      <c r="D2" s="132"/>
      <c r="E2" s="132"/>
      <c r="F2" s="133"/>
      <c r="G2" s="134"/>
      <c r="H2" s="128"/>
      <c r="I2" s="133"/>
      <c r="J2" s="134"/>
      <c r="K2" s="128"/>
      <c r="L2" s="133"/>
      <c r="M2" s="134"/>
      <c r="N2" s="128"/>
      <c r="O2" s="128"/>
      <c r="P2" s="128"/>
      <c r="Q2" s="135"/>
      <c r="R2" s="123" t="s">
        <v>47</v>
      </c>
    </row>
    <row r="3" spans="1:18" s="123" customFormat="1" ht="26.25" customHeight="1">
      <c r="A3" s="136" t="s">
        <v>58</v>
      </c>
      <c r="B3" s="137" t="s">
        <v>59</v>
      </c>
      <c r="C3" s="137"/>
      <c r="D3" s="137"/>
      <c r="E3" s="137"/>
      <c r="F3" s="133"/>
      <c r="G3" s="134"/>
      <c r="H3" s="128"/>
      <c r="I3" s="133"/>
      <c r="J3" s="134"/>
      <c r="K3" s="128"/>
      <c r="L3" s="133"/>
      <c r="M3" s="134"/>
      <c r="N3" s="128"/>
      <c r="O3" s="128"/>
      <c r="P3" s="128"/>
      <c r="Q3" s="135"/>
      <c r="R3" s="123" t="s">
        <v>48</v>
      </c>
    </row>
    <row r="4" spans="1:18" s="123" customFormat="1" ht="18" customHeight="1">
      <c r="A4" s="136" t="s">
        <v>60</v>
      </c>
      <c r="B4" s="137">
        <f>COUNTA(A12:A1000)</f>
        <v>11</v>
      </c>
      <c r="C4" s="137"/>
      <c r="D4" s="137"/>
      <c r="E4" s="137"/>
      <c r="F4" s="133"/>
      <c r="G4" s="134"/>
      <c r="H4" s="128"/>
      <c r="I4" s="133"/>
      <c r="J4" s="134"/>
      <c r="K4" s="128"/>
      <c r="L4" s="133"/>
      <c r="M4" s="134"/>
      <c r="N4" s="128"/>
      <c r="O4" s="128"/>
      <c r="P4" s="128"/>
      <c r="Q4" s="135"/>
      <c r="R4" s="123" t="s">
        <v>49</v>
      </c>
    </row>
    <row r="5" spans="1:18" s="123" customFormat="1" ht="19.5" customHeight="1">
      <c r="A5" s="138" t="s">
        <v>61</v>
      </c>
      <c r="B5" s="139" t="s">
        <v>47</v>
      </c>
      <c r="C5" s="139" t="s">
        <v>48</v>
      </c>
      <c r="D5" s="139" t="s">
        <v>49</v>
      </c>
      <c r="E5" s="140" t="s">
        <v>50</v>
      </c>
      <c r="F5" s="141"/>
      <c r="G5" s="141"/>
      <c r="H5" s="142"/>
      <c r="I5" s="141"/>
      <c r="J5" s="141"/>
      <c r="K5" s="142"/>
      <c r="L5" s="141"/>
      <c r="M5" s="141"/>
      <c r="N5" s="142"/>
      <c r="O5" s="142"/>
      <c r="P5" s="142"/>
      <c r="Q5" s="143"/>
      <c r="R5" s="123" t="s">
        <v>50</v>
      </c>
    </row>
    <row r="6" spans="1:18" s="123" customFormat="1" ht="15" customHeight="1">
      <c r="A6" s="138" t="s">
        <v>62</v>
      </c>
      <c r="B6" s="144">
        <f>COUNTIF($F10:$F998,B5)</f>
        <v>9</v>
      </c>
      <c r="C6" s="144">
        <f>COUNTIF($F10:$F998,C5)</f>
        <v>0</v>
      </c>
      <c r="D6" s="144">
        <f>COUNTIF($F10:$F998,D5)</f>
        <v>0</v>
      </c>
      <c r="E6" s="145">
        <f>COUNTIF($F10:$F998,E5)</f>
        <v>0</v>
      </c>
      <c r="F6" s="146"/>
      <c r="G6" s="146"/>
      <c r="H6" s="142"/>
      <c r="I6" s="146"/>
      <c r="J6" s="146"/>
      <c r="K6" s="142"/>
      <c r="L6" s="146"/>
      <c r="M6" s="146"/>
      <c r="N6" s="142"/>
      <c r="O6" s="142"/>
      <c r="P6" s="142"/>
      <c r="Q6" s="143"/>
    </row>
    <row r="7" spans="1:18" s="123" customFormat="1" ht="15" customHeight="1">
      <c r="A7" s="138" t="s">
        <v>63</v>
      </c>
      <c r="B7" s="144">
        <f>COUNTIF($F10:$F998,B5)</f>
        <v>9</v>
      </c>
      <c r="C7" s="144">
        <f>COUNTIF($F10:$F998,C5)</f>
        <v>0</v>
      </c>
      <c r="D7" s="144">
        <f>COUNTIF($F10:$F998,D5)</f>
        <v>0</v>
      </c>
      <c r="E7" s="145">
        <f>COUNTIF($F10:$F998,E5)</f>
        <v>0</v>
      </c>
      <c r="F7" s="146"/>
      <c r="G7" s="146"/>
      <c r="H7" s="142"/>
      <c r="I7" s="146"/>
      <c r="J7" s="146"/>
      <c r="K7" s="142"/>
      <c r="L7" s="146"/>
      <c r="M7" s="146"/>
      <c r="N7" s="142"/>
      <c r="O7" s="142"/>
      <c r="P7" s="142"/>
      <c r="Q7" s="143"/>
    </row>
    <row r="8" spans="1:18" s="123" customFormat="1" ht="15" customHeight="1">
      <c r="A8" s="147" t="s">
        <v>64</v>
      </c>
      <c r="B8" s="148">
        <f>COUNTIF($F10:$F998,B5)</f>
        <v>9</v>
      </c>
      <c r="C8" s="148">
        <f>COUNTIF($F10:$F998,C5)</f>
        <v>0</v>
      </c>
      <c r="D8" s="148">
        <f>COUNTIF($F10:$F998,D5)</f>
        <v>0</v>
      </c>
      <c r="E8" s="149">
        <f>COUNTIF($F10:$F998,E5)</f>
        <v>0</v>
      </c>
      <c r="F8" s="146"/>
      <c r="G8" s="146"/>
      <c r="H8" s="142"/>
      <c r="I8" s="146"/>
      <c r="J8" s="146"/>
      <c r="K8" s="142"/>
      <c r="L8" s="146"/>
      <c r="M8" s="146"/>
      <c r="N8" s="142"/>
      <c r="O8" s="142"/>
      <c r="P8" s="142"/>
      <c r="Q8" s="143"/>
    </row>
    <row r="9" spans="1:18" s="123" customFormat="1" ht="15" customHeight="1">
      <c r="A9" s="142"/>
      <c r="B9" s="142"/>
      <c r="C9" s="142"/>
      <c r="D9" s="142"/>
      <c r="E9" s="142"/>
      <c r="F9" s="150"/>
      <c r="G9" s="142"/>
      <c r="H9" s="142"/>
      <c r="I9" s="150"/>
      <c r="J9" s="142"/>
      <c r="K9" s="142"/>
      <c r="L9" s="150"/>
      <c r="M9" s="142"/>
      <c r="N9" s="142"/>
      <c r="O9" s="142"/>
      <c r="P9" s="142"/>
      <c r="Q9" s="143"/>
    </row>
    <row r="10" spans="1:18" s="123" customFormat="1" ht="25.5" customHeight="1">
      <c r="A10" s="125" t="s">
        <v>65</v>
      </c>
      <c r="B10" s="125" t="s">
        <v>66</v>
      </c>
      <c r="C10" s="125" t="s">
        <v>67</v>
      </c>
      <c r="D10" s="125" t="s">
        <v>68</v>
      </c>
      <c r="E10" s="125" t="s">
        <v>69</v>
      </c>
      <c r="F10" s="125" t="s">
        <v>62</v>
      </c>
      <c r="G10" s="125" t="s">
        <v>70</v>
      </c>
      <c r="H10" s="125" t="s">
        <v>71</v>
      </c>
      <c r="I10" s="125" t="s">
        <v>63</v>
      </c>
      <c r="J10" s="125" t="s">
        <v>70</v>
      </c>
      <c r="K10" s="125" t="s">
        <v>71</v>
      </c>
      <c r="L10" s="125" t="s">
        <v>64</v>
      </c>
      <c r="M10" s="125" t="s">
        <v>70</v>
      </c>
      <c r="N10" s="125" t="s">
        <v>71</v>
      </c>
      <c r="O10" s="125" t="s">
        <v>72</v>
      </c>
      <c r="Q10" s="151"/>
    </row>
    <row r="11" spans="1:18" s="123" customFormat="1" ht="15.75" customHeight="1">
      <c r="A11" s="123" t="s">
        <v>73</v>
      </c>
    </row>
    <row r="12" spans="1:18" s="126" customFormat="1" ht="120.75" customHeight="1" outlineLevel="1">
      <c r="A12" s="126" t="s">
        <v>74</v>
      </c>
      <c r="B12" s="126" t="s">
        <v>75</v>
      </c>
      <c r="C12" s="127" t="s">
        <v>76</v>
      </c>
      <c r="D12" s="126" t="s">
        <v>77</v>
      </c>
      <c r="E12" s="126" t="s">
        <v>20</v>
      </c>
      <c r="F12" s="126" t="s">
        <v>47</v>
      </c>
      <c r="G12" s="122">
        <v>46175</v>
      </c>
      <c r="H12" s="126" t="s">
        <v>78</v>
      </c>
      <c r="I12" s="126" t="s">
        <v>47</v>
      </c>
      <c r="J12" s="122">
        <v>46197</v>
      </c>
      <c r="K12" s="126" t="s">
        <v>78</v>
      </c>
      <c r="L12" s="126" t="s">
        <v>47</v>
      </c>
      <c r="M12" s="122">
        <v>46197</v>
      </c>
      <c r="N12" s="126" t="s">
        <v>79</v>
      </c>
    </row>
    <row r="13" spans="1:18" ht="34.5" customHeight="1" outlineLevel="1">
      <c r="A13" s="124" t="s">
        <v>80</v>
      </c>
      <c r="B13" s="124" t="s">
        <v>81</v>
      </c>
      <c r="C13" s="128" t="s">
        <v>82</v>
      </c>
      <c r="D13" s="124" t="s">
        <v>83</v>
      </c>
      <c r="E13" s="124" t="s">
        <v>84</v>
      </c>
      <c r="F13" s="124" t="s">
        <v>47</v>
      </c>
      <c r="G13" s="122">
        <v>46177</v>
      </c>
      <c r="H13" s="124" t="s">
        <v>79</v>
      </c>
      <c r="I13" s="124" t="s">
        <v>47</v>
      </c>
      <c r="J13" s="122">
        <v>46199</v>
      </c>
      <c r="K13" s="124" t="s">
        <v>79</v>
      </c>
      <c r="L13" s="124" t="s">
        <v>47</v>
      </c>
      <c r="M13" s="122">
        <v>46199</v>
      </c>
      <c r="N13" s="124" t="s">
        <v>85</v>
      </c>
    </row>
    <row r="14" spans="1:18" ht="23.25" customHeight="1" outlineLevel="1">
      <c r="A14" s="124" t="s">
        <v>86</v>
      </c>
      <c r="B14" s="124" t="s">
        <v>87</v>
      </c>
      <c r="C14" s="128" t="s">
        <v>88</v>
      </c>
      <c r="D14" s="124" t="s">
        <v>89</v>
      </c>
      <c r="E14" s="124" t="s">
        <v>20</v>
      </c>
      <c r="F14" s="124" t="s">
        <v>47</v>
      </c>
      <c r="G14" s="122">
        <v>46181</v>
      </c>
      <c r="H14" s="124" t="s">
        <v>85</v>
      </c>
      <c r="I14" s="124" t="s">
        <v>47</v>
      </c>
      <c r="J14" s="122">
        <v>46202</v>
      </c>
      <c r="K14" s="124" t="s">
        <v>85</v>
      </c>
      <c r="L14" s="124" t="s">
        <v>47</v>
      </c>
      <c r="M14" s="122">
        <v>46202</v>
      </c>
      <c r="N14" s="124" t="s">
        <v>78</v>
      </c>
    </row>
    <row r="15" spans="1:18" s="123" customFormat="1" ht="15.75" customHeight="1">
      <c r="A15" s="123" t="s">
        <v>90</v>
      </c>
    </row>
    <row r="16" spans="1:18" ht="34.5" customHeight="1" outlineLevel="1">
      <c r="A16" s="124" t="s">
        <v>91</v>
      </c>
      <c r="B16" s="124" t="s">
        <v>92</v>
      </c>
      <c r="C16" s="128" t="s">
        <v>93</v>
      </c>
      <c r="D16" s="124" t="s">
        <v>94</v>
      </c>
      <c r="E16" s="124" t="s">
        <v>95</v>
      </c>
      <c r="F16" s="124" t="s">
        <v>47</v>
      </c>
      <c r="G16" s="122">
        <v>46183</v>
      </c>
      <c r="H16" s="124" t="s">
        <v>78</v>
      </c>
      <c r="I16" s="124" t="s">
        <v>47</v>
      </c>
      <c r="J16" s="122">
        <v>46204</v>
      </c>
      <c r="K16" s="124" t="s">
        <v>78</v>
      </c>
      <c r="L16" s="124" t="s">
        <v>47</v>
      </c>
      <c r="M16" s="122">
        <v>46204</v>
      </c>
      <c r="N16" s="124" t="s">
        <v>79</v>
      </c>
    </row>
    <row r="17" spans="1:14" ht="23.25" customHeight="1" outlineLevel="1">
      <c r="A17" s="124" t="s">
        <v>96</v>
      </c>
      <c r="B17" s="124" t="s">
        <v>97</v>
      </c>
      <c r="C17" s="128" t="s">
        <v>98</v>
      </c>
      <c r="D17" s="124" t="s">
        <v>99</v>
      </c>
      <c r="E17" s="124" t="s">
        <v>20</v>
      </c>
      <c r="F17" s="124" t="s">
        <v>47</v>
      </c>
      <c r="G17" s="122">
        <v>46185</v>
      </c>
      <c r="H17" s="124" t="s">
        <v>79</v>
      </c>
      <c r="I17" s="124" t="s">
        <v>47</v>
      </c>
      <c r="J17" s="122">
        <v>46206</v>
      </c>
      <c r="K17" s="124" t="s">
        <v>79</v>
      </c>
      <c r="L17" s="124" t="s">
        <v>47</v>
      </c>
      <c r="M17" s="122">
        <v>46206</v>
      </c>
      <c r="N17" s="124" t="s">
        <v>85</v>
      </c>
    </row>
    <row r="18" spans="1:14" s="123" customFormat="1" ht="15.75" customHeight="1">
      <c r="A18" s="123" t="s">
        <v>100</v>
      </c>
      <c r="B18" s="123" t="s">
        <v>101</v>
      </c>
      <c r="C18" s="129" t="s">
        <v>102</v>
      </c>
      <c r="D18" s="123" t="s">
        <v>103</v>
      </c>
      <c r="E18" s="123" t="s">
        <v>104</v>
      </c>
      <c r="F18" s="123" t="s">
        <v>47</v>
      </c>
      <c r="G18" s="122">
        <v>46188</v>
      </c>
      <c r="H18" s="123" t="s">
        <v>85</v>
      </c>
      <c r="I18" s="123" t="s">
        <v>47</v>
      </c>
      <c r="J18" s="122">
        <v>46209</v>
      </c>
      <c r="K18" s="123" t="s">
        <v>85</v>
      </c>
      <c r="L18" s="123" t="s">
        <v>47</v>
      </c>
      <c r="M18" s="122">
        <v>46209</v>
      </c>
      <c r="N18" s="123" t="s">
        <v>78</v>
      </c>
    </row>
    <row r="19" spans="1:14" ht="23.25" customHeight="1" outlineLevel="1">
      <c r="A19" s="124" t="s">
        <v>105</v>
      </c>
      <c r="B19" s="124" t="s">
        <v>106</v>
      </c>
      <c r="C19" s="128" t="s">
        <v>107</v>
      </c>
      <c r="D19" s="124" t="s">
        <v>108</v>
      </c>
      <c r="E19" s="124" t="s">
        <v>20</v>
      </c>
      <c r="F19" s="124" t="s">
        <v>47</v>
      </c>
      <c r="G19" s="122">
        <v>46190</v>
      </c>
      <c r="H19" s="124" t="s">
        <v>78</v>
      </c>
      <c r="I19" s="124" t="s">
        <v>47</v>
      </c>
      <c r="J19" s="122">
        <v>46211</v>
      </c>
      <c r="K19" s="124" t="s">
        <v>78</v>
      </c>
      <c r="L19" s="124" t="s">
        <v>47</v>
      </c>
      <c r="M19" s="122">
        <v>46211</v>
      </c>
      <c r="N19" s="124" t="s">
        <v>79</v>
      </c>
    </row>
    <row r="20" spans="1:14" ht="12.75" customHeight="1">
      <c r="A20" s="124" t="s">
        <v>109</v>
      </c>
    </row>
    <row r="21" spans="1:14" ht="34.5" customHeight="1">
      <c r="A21" s="124" t="s">
        <v>110</v>
      </c>
      <c r="B21" s="124" t="s">
        <v>111</v>
      </c>
      <c r="C21" s="128" t="s">
        <v>112</v>
      </c>
      <c r="D21" s="124" t="s">
        <v>113</v>
      </c>
      <c r="E21" s="124" t="s">
        <v>114</v>
      </c>
      <c r="F21" s="124" t="s">
        <v>47</v>
      </c>
      <c r="G21" s="122">
        <v>46192</v>
      </c>
      <c r="H21" s="124" t="s">
        <v>79</v>
      </c>
      <c r="I21" s="124" t="s">
        <v>47</v>
      </c>
      <c r="J21" s="122">
        <v>46213</v>
      </c>
      <c r="K21" s="124" t="s">
        <v>79</v>
      </c>
      <c r="L21" s="124" t="s">
        <v>47</v>
      </c>
      <c r="M21" s="122">
        <v>46213</v>
      </c>
      <c r="N21" s="124" t="s">
        <v>85</v>
      </c>
    </row>
    <row r="22" spans="1:14" ht="23.25" customHeight="1">
      <c r="A22" s="124" t="s">
        <v>115</v>
      </c>
      <c r="B22" s="124" t="s">
        <v>116</v>
      </c>
      <c r="C22" s="128" t="s">
        <v>117</v>
      </c>
      <c r="D22" s="124" t="s">
        <v>118</v>
      </c>
      <c r="E22" s="124" t="s">
        <v>119</v>
      </c>
      <c r="F22" s="124" t="s">
        <v>47</v>
      </c>
      <c r="G22" s="122">
        <v>46175</v>
      </c>
      <c r="H22" s="124" t="s">
        <v>85</v>
      </c>
      <c r="I22" s="124" t="s">
        <v>48</v>
      </c>
      <c r="J22" s="122">
        <v>46197</v>
      </c>
      <c r="K22" s="124" t="s">
        <v>85</v>
      </c>
      <c r="L22" s="124" t="s">
        <v>48</v>
      </c>
      <c r="M22" s="122">
        <v>46197</v>
      </c>
      <c r="N22" s="124" t="s">
        <v>78</v>
      </c>
    </row>
  </sheetData>
  <mergeCells count="3">
    <mergeCell ref="B2:E2"/>
    <mergeCell ref="B3:E3"/>
    <mergeCell ref="B4:E4"/>
  </mergeCells>
  <dataValidations count="2">
    <dataValidation type="list" allowBlank="1" showErrorMessage="1" sqref="G2:G3 J2:J3 M2:M3 G9 J9 M9 F12:F19 I12:I19 L12:L19 G20:G147 J20:J147 M20:M147" xr:uid="{00000000-0002-0000-0300-000000000000}">
      <formula1>$R$2:$R$5</formula1>
      <formula2>0</formula2>
    </dataValidation>
    <dataValidation allowBlank="1" showErrorMessage="1" sqref="F10 I10 L10" xr:uid="{00000000-0002-0000-0300-000001000000}">
      <formula1>0</formula1>
      <formula2>0</formula2>
    </dataValidation>
  </dataValidations>
  <pageMargins left="0.74791666666666701" right="0.25" top="0.75" bottom="0.98402777777777795" header="0.5" footer="0.5"/>
  <pageSetup paperSize="9" orientation="landscape" horizontalDpi="300" verticalDpi="300"/>
  <headerFooter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R21"/>
  <sheetViews>
    <sheetView zoomScale="85" zoomScaleNormal="85" workbookViewId="0">
      <pane ySplit="10" topLeftCell="A13" activePane="bottomLeft" state="frozen"/>
      <selection pane="bottomLeft" activeCell="C13" sqref="A10:O21"/>
    </sheetView>
  </sheetViews>
  <sheetFormatPr defaultColWidth="9" defaultRowHeight="12.45" outlineLevelRow="1" outlineLevelCol="1"/>
  <cols>
    <col min="1" max="1" width="17" style="19" customWidth="1"/>
    <col min="2" max="2" width="34.4609375" style="19" customWidth="1"/>
    <col min="3" max="3" width="33.3046875" style="19" customWidth="1"/>
    <col min="4" max="4" width="34.61328125" style="19" customWidth="1"/>
    <col min="5" max="5" width="28.3046875" style="19" customWidth="1"/>
    <col min="6" max="6" width="9.3046875" style="19" customWidth="1"/>
    <col min="7" max="7" width="13" style="19" customWidth="1" outlineLevel="1"/>
    <col min="8" max="8" width="7" style="19" customWidth="1" outlineLevel="1"/>
    <col min="9" max="9" width="9.3046875" style="19" customWidth="1"/>
    <col min="10" max="10" width="13" style="19" customWidth="1" outlineLevel="1"/>
    <col min="11" max="11" width="7" style="19" customWidth="1" outlineLevel="1"/>
    <col min="12" max="12" width="9.3046875" style="19" customWidth="1"/>
    <col min="13" max="13" width="13" style="19" customWidth="1" outlineLevel="1"/>
    <col min="14" max="14" width="7" style="19" customWidth="1" outlineLevel="1"/>
    <col min="15" max="15" width="28.61328125" style="19" customWidth="1"/>
    <col min="16" max="16" width="10.07421875" style="19" customWidth="1"/>
    <col min="17" max="17" width="8.07421875" style="101" customWidth="1"/>
    <col min="18" max="18" width="7.69140625" style="19" hidden="1" customWidth="1"/>
    <col min="19" max="16384" width="9" style="19"/>
  </cols>
  <sheetData>
    <row r="1" spans="1:18" ht="13.5" customHeight="1"/>
    <row r="2" spans="1:18" s="106" customFormat="1" ht="15" customHeight="1">
      <c r="A2" s="102" t="s">
        <v>56</v>
      </c>
      <c r="B2" s="12" t="s">
        <v>120</v>
      </c>
      <c r="C2" s="12"/>
      <c r="D2" s="12"/>
      <c r="E2" s="12"/>
      <c r="F2" s="103"/>
      <c r="G2" s="104"/>
      <c r="H2" s="51"/>
      <c r="I2" s="103"/>
      <c r="J2" s="104"/>
      <c r="K2" s="51"/>
      <c r="L2" s="103"/>
      <c r="M2" s="104"/>
      <c r="N2" s="51"/>
      <c r="O2" s="51"/>
      <c r="P2" s="51"/>
      <c r="Q2" s="105"/>
      <c r="R2" s="106" t="s">
        <v>47</v>
      </c>
    </row>
    <row r="3" spans="1:18" s="106" customFormat="1" ht="26.25" customHeight="1">
      <c r="A3" s="107" t="s">
        <v>58</v>
      </c>
      <c r="B3" s="11" t="s">
        <v>121</v>
      </c>
      <c r="C3" s="11"/>
      <c r="D3" s="11"/>
      <c r="E3" s="11"/>
      <c r="F3" s="103"/>
      <c r="G3" s="104"/>
      <c r="H3" s="51"/>
      <c r="I3" s="103"/>
      <c r="J3" s="104"/>
      <c r="K3" s="51"/>
      <c r="L3" s="103"/>
      <c r="M3" s="104"/>
      <c r="N3" s="51"/>
      <c r="O3" s="51"/>
      <c r="P3" s="51"/>
      <c r="Q3" s="105"/>
      <c r="R3" s="106" t="s">
        <v>48</v>
      </c>
    </row>
    <row r="4" spans="1:18" s="106" customFormat="1" ht="18" customHeight="1">
      <c r="A4" s="107" t="s">
        <v>60</v>
      </c>
      <c r="B4" s="11">
        <f>COUNTA(A12:A998)</f>
        <v>10</v>
      </c>
      <c r="C4" s="11"/>
      <c r="D4" s="11"/>
      <c r="E4" s="11"/>
      <c r="F4" s="103"/>
      <c r="G4" s="104"/>
      <c r="H4" s="51"/>
      <c r="I4" s="103"/>
      <c r="J4" s="104"/>
      <c r="K4" s="51"/>
      <c r="L4" s="103"/>
      <c r="M4" s="104"/>
      <c r="N4" s="51"/>
      <c r="O4" s="51"/>
      <c r="P4" s="51"/>
      <c r="Q4" s="105"/>
      <c r="R4" s="106" t="s">
        <v>49</v>
      </c>
    </row>
    <row r="5" spans="1:18" s="106" customFormat="1" ht="19.5" customHeight="1">
      <c r="A5" s="108" t="s">
        <v>61</v>
      </c>
      <c r="B5" s="109" t="s">
        <v>47</v>
      </c>
      <c r="C5" s="109" t="s">
        <v>48</v>
      </c>
      <c r="D5" s="109" t="s">
        <v>49</v>
      </c>
      <c r="E5" s="110" t="s">
        <v>50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6" t="s">
        <v>50</v>
      </c>
    </row>
    <row r="6" spans="1:18" s="106" customFormat="1" ht="15" customHeight="1">
      <c r="A6" s="108" t="s">
        <v>62</v>
      </c>
      <c r="B6" s="114">
        <f>COUNTIF($F10:$F996,B5)</f>
        <v>8</v>
      </c>
      <c r="C6" s="114">
        <f>COUNTIF($F10:$F996,C5)</f>
        <v>0</v>
      </c>
      <c r="D6" s="114">
        <f>COUNTIF($F10:$F996,D5)</f>
        <v>0</v>
      </c>
      <c r="E6" s="115">
        <f>COUNTIF($F10:$F996,E5)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pans="1:18" s="106" customFormat="1" ht="15" customHeight="1">
      <c r="A7" s="108" t="s">
        <v>63</v>
      </c>
      <c r="B7" s="114">
        <f>COUNTIF($F10:$F996,B5)</f>
        <v>8</v>
      </c>
      <c r="C7" s="114">
        <f>COUNTIF($F10:$F996,C5)</f>
        <v>0</v>
      </c>
      <c r="D7" s="114">
        <f>COUNTIF($F10:$F996,D5)</f>
        <v>0</v>
      </c>
      <c r="E7" s="115">
        <f>COUNTIF($F10:$F996,E5)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pans="1:18" s="106" customFormat="1" ht="15" customHeight="1">
      <c r="A8" s="117" t="s">
        <v>64</v>
      </c>
      <c r="B8" s="118">
        <f>COUNTIF($F10:$F996,B5)</f>
        <v>8</v>
      </c>
      <c r="C8" s="118">
        <f>COUNTIF($F10:$F996,C5)</f>
        <v>0</v>
      </c>
      <c r="D8" s="118">
        <f>COUNTIF($F10:$F996,D5)</f>
        <v>0</v>
      </c>
      <c r="E8" s="119">
        <f>COUNTIF($F10:$F996,E5)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pans="1:18" s="106" customFormat="1" ht="15" customHeight="1">
      <c r="A9" s="112"/>
      <c r="B9" s="112"/>
      <c r="C9" s="112"/>
      <c r="D9" s="112"/>
      <c r="E9" s="112"/>
      <c r="F9" s="100"/>
      <c r="G9" s="112"/>
      <c r="H9" s="112"/>
      <c r="I9" s="100"/>
      <c r="J9" s="112"/>
      <c r="K9" s="112"/>
      <c r="L9" s="100"/>
      <c r="M9" s="112"/>
      <c r="N9" s="112"/>
      <c r="O9" s="112"/>
      <c r="P9" s="112"/>
      <c r="Q9" s="113"/>
    </row>
    <row r="10" spans="1:18" s="106" customFormat="1" ht="25.5" customHeight="1">
      <c r="A10" s="125" t="s">
        <v>65</v>
      </c>
      <c r="B10" s="125" t="s">
        <v>66</v>
      </c>
      <c r="C10" s="125" t="s">
        <v>67</v>
      </c>
      <c r="D10" s="125" t="s">
        <v>68</v>
      </c>
      <c r="E10" s="125" t="s">
        <v>69</v>
      </c>
      <c r="F10" s="125" t="s">
        <v>62</v>
      </c>
      <c r="G10" s="125" t="s">
        <v>70</v>
      </c>
      <c r="H10" s="125" t="s">
        <v>71</v>
      </c>
      <c r="I10" s="125" t="s">
        <v>63</v>
      </c>
      <c r="J10" s="125" t="s">
        <v>70</v>
      </c>
      <c r="K10" s="125" t="s">
        <v>71</v>
      </c>
      <c r="L10" s="125" t="s">
        <v>64</v>
      </c>
      <c r="M10" s="125" t="s">
        <v>70</v>
      </c>
      <c r="N10" s="125" t="s">
        <v>71</v>
      </c>
      <c r="O10" s="125" t="s">
        <v>72</v>
      </c>
      <c r="Q10" s="120"/>
    </row>
    <row r="11" spans="1:18" s="106" customFormat="1" ht="15.75" customHeight="1">
      <c r="A11" s="123" t="s">
        <v>122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</row>
    <row r="12" spans="1:18" s="121" customFormat="1" ht="120.75" customHeight="1" outlineLevel="1">
      <c r="A12" s="126" t="s">
        <v>123</v>
      </c>
      <c r="B12" s="126" t="s">
        <v>124</v>
      </c>
      <c r="C12" s="127" t="s">
        <v>125</v>
      </c>
      <c r="D12" s="126" t="s">
        <v>126</v>
      </c>
      <c r="E12" s="126" t="s">
        <v>127</v>
      </c>
      <c r="F12" s="126" t="s">
        <v>47</v>
      </c>
      <c r="G12" s="122">
        <v>46177</v>
      </c>
      <c r="H12" s="126" t="s">
        <v>78</v>
      </c>
      <c r="I12" s="126" t="s">
        <v>47</v>
      </c>
      <c r="J12" s="122">
        <v>46199</v>
      </c>
      <c r="K12" s="126" t="s">
        <v>78</v>
      </c>
      <c r="L12" s="126" t="s">
        <v>47</v>
      </c>
      <c r="M12" s="122">
        <v>46199</v>
      </c>
      <c r="N12" s="126" t="s">
        <v>79</v>
      </c>
      <c r="O12" s="126"/>
    </row>
    <row r="13" spans="1:18" ht="23.25" customHeight="1" outlineLevel="1">
      <c r="A13" s="124" t="s">
        <v>128</v>
      </c>
      <c r="B13" s="124" t="s">
        <v>129</v>
      </c>
      <c r="C13" s="128" t="s">
        <v>130</v>
      </c>
      <c r="D13" s="124" t="s">
        <v>131</v>
      </c>
      <c r="E13" s="124" t="s">
        <v>132</v>
      </c>
      <c r="F13" s="124" t="s">
        <v>47</v>
      </c>
      <c r="G13" s="122">
        <v>46181</v>
      </c>
      <c r="H13" s="124" t="s">
        <v>79</v>
      </c>
      <c r="I13" s="124" t="s">
        <v>47</v>
      </c>
      <c r="J13" s="122">
        <v>46202</v>
      </c>
      <c r="K13" s="124" t="s">
        <v>79</v>
      </c>
      <c r="L13" s="124" t="s">
        <v>47</v>
      </c>
      <c r="M13" s="122">
        <v>46202</v>
      </c>
      <c r="N13" s="124" t="s">
        <v>85</v>
      </c>
      <c r="O13" s="124"/>
    </row>
    <row r="14" spans="1:18" ht="23.25" customHeight="1" outlineLevel="1">
      <c r="A14" s="124" t="s">
        <v>133</v>
      </c>
      <c r="B14" s="124" t="s">
        <v>134</v>
      </c>
      <c r="C14" s="128" t="s">
        <v>135</v>
      </c>
      <c r="D14" s="124" t="s">
        <v>136</v>
      </c>
      <c r="E14" s="124" t="s">
        <v>137</v>
      </c>
      <c r="F14" s="124" t="s">
        <v>47</v>
      </c>
      <c r="G14" s="122">
        <v>46183</v>
      </c>
      <c r="H14" s="124" t="s">
        <v>85</v>
      </c>
      <c r="I14" s="124" t="s">
        <v>47</v>
      </c>
      <c r="J14" s="122">
        <v>46204</v>
      </c>
      <c r="K14" s="124" t="s">
        <v>85</v>
      </c>
      <c r="L14" s="124" t="s">
        <v>47</v>
      </c>
      <c r="M14" s="122">
        <v>46204</v>
      </c>
      <c r="N14" s="124" t="s">
        <v>78</v>
      </c>
      <c r="O14" s="124"/>
    </row>
    <row r="15" spans="1:18" s="106" customFormat="1" ht="15.75" customHeight="1">
      <c r="A15" s="123" t="s">
        <v>138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</row>
    <row r="16" spans="1:18" ht="34.5" customHeight="1" outlineLevel="1">
      <c r="A16" s="124" t="s">
        <v>139</v>
      </c>
      <c r="B16" s="124" t="s">
        <v>140</v>
      </c>
      <c r="C16" s="128" t="s">
        <v>141</v>
      </c>
      <c r="D16" s="124" t="s">
        <v>142</v>
      </c>
      <c r="E16" s="124" t="s">
        <v>143</v>
      </c>
      <c r="F16" s="124" t="s">
        <v>47</v>
      </c>
      <c r="G16" s="122">
        <v>46185</v>
      </c>
      <c r="H16" s="124" t="s">
        <v>78</v>
      </c>
      <c r="I16" s="124" t="s">
        <v>47</v>
      </c>
      <c r="J16" s="122">
        <v>46206</v>
      </c>
      <c r="K16" s="124" t="s">
        <v>78</v>
      </c>
      <c r="L16" s="124" t="s">
        <v>47</v>
      </c>
      <c r="M16" s="122">
        <v>46206</v>
      </c>
      <c r="N16" s="124" t="s">
        <v>79</v>
      </c>
      <c r="O16" s="124"/>
    </row>
    <row r="17" spans="1:15" ht="23.25" customHeight="1" outlineLevel="1">
      <c r="A17" s="124" t="s">
        <v>144</v>
      </c>
      <c r="B17" s="124" t="s">
        <v>145</v>
      </c>
      <c r="C17" s="128" t="s">
        <v>146</v>
      </c>
      <c r="D17" s="124" t="s">
        <v>147</v>
      </c>
      <c r="E17" s="124" t="s">
        <v>143</v>
      </c>
      <c r="F17" s="124" t="s">
        <v>47</v>
      </c>
      <c r="G17" s="122">
        <v>46188</v>
      </c>
      <c r="H17" s="124" t="s">
        <v>79</v>
      </c>
      <c r="I17" s="124" t="s">
        <v>47</v>
      </c>
      <c r="J17" s="122">
        <v>46209</v>
      </c>
      <c r="K17" s="124" t="s">
        <v>79</v>
      </c>
      <c r="L17" s="124" t="s">
        <v>47</v>
      </c>
      <c r="M17" s="122">
        <v>46209</v>
      </c>
      <c r="N17" s="124" t="s">
        <v>85</v>
      </c>
      <c r="O17" s="124"/>
    </row>
    <row r="18" spans="1:15" ht="12.75" customHeight="1">
      <c r="A18" s="124" t="s">
        <v>148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</row>
    <row r="19" spans="1:15" ht="34.5" customHeight="1">
      <c r="A19" s="124" t="s">
        <v>149</v>
      </c>
      <c r="B19" s="124" t="s">
        <v>150</v>
      </c>
      <c r="C19" s="128" t="s">
        <v>151</v>
      </c>
      <c r="D19" s="124" t="s">
        <v>152</v>
      </c>
      <c r="E19" s="124" t="s">
        <v>153</v>
      </c>
      <c r="F19" s="124" t="s">
        <v>47</v>
      </c>
      <c r="G19" s="122">
        <v>46190</v>
      </c>
      <c r="H19" s="124" t="s">
        <v>85</v>
      </c>
      <c r="I19" s="124" t="s">
        <v>47</v>
      </c>
      <c r="J19" s="122">
        <v>46211</v>
      </c>
      <c r="K19" s="124" t="s">
        <v>85</v>
      </c>
      <c r="L19" s="124" t="s">
        <v>47</v>
      </c>
      <c r="M19" s="122">
        <v>46211</v>
      </c>
      <c r="N19" s="124" t="s">
        <v>78</v>
      </c>
      <c r="O19" s="124"/>
    </row>
    <row r="20" spans="1:15" ht="23.25" customHeight="1">
      <c r="A20" s="124" t="s">
        <v>154</v>
      </c>
      <c r="B20" s="124" t="s">
        <v>155</v>
      </c>
      <c r="C20" s="128" t="s">
        <v>156</v>
      </c>
      <c r="D20" s="124" t="s">
        <v>157</v>
      </c>
      <c r="E20" s="124" t="s">
        <v>158</v>
      </c>
      <c r="F20" s="124" t="s">
        <v>47</v>
      </c>
      <c r="G20" s="122">
        <v>46192</v>
      </c>
      <c r="H20" s="124" t="s">
        <v>78</v>
      </c>
      <c r="I20" s="124" t="s">
        <v>47</v>
      </c>
      <c r="J20" s="122">
        <v>46213</v>
      </c>
      <c r="K20" s="124" t="s">
        <v>78</v>
      </c>
      <c r="L20" s="124" t="s">
        <v>47</v>
      </c>
      <c r="M20" s="122">
        <v>46213</v>
      </c>
      <c r="N20" s="124" t="s">
        <v>79</v>
      </c>
      <c r="O20" s="124"/>
    </row>
    <row r="21" spans="1:15" ht="23.25" customHeight="1">
      <c r="A21" s="124" t="s">
        <v>159</v>
      </c>
      <c r="B21" s="124" t="s">
        <v>160</v>
      </c>
      <c r="C21" s="128" t="s">
        <v>161</v>
      </c>
      <c r="D21" s="124" t="s">
        <v>162</v>
      </c>
      <c r="E21" s="124" t="s">
        <v>163</v>
      </c>
      <c r="F21" s="124" t="s">
        <v>47</v>
      </c>
      <c r="G21" s="122">
        <v>46175</v>
      </c>
      <c r="H21" s="124" t="s">
        <v>79</v>
      </c>
      <c r="I21" s="124" t="s">
        <v>47</v>
      </c>
      <c r="J21" s="122">
        <v>46197</v>
      </c>
      <c r="K21" s="124" t="s">
        <v>79</v>
      </c>
      <c r="L21" s="124" t="s">
        <v>47</v>
      </c>
      <c r="M21" s="122">
        <v>46197</v>
      </c>
      <c r="N21" s="124" t="s">
        <v>85</v>
      </c>
      <c r="O21" s="124"/>
    </row>
  </sheetData>
  <mergeCells count="3">
    <mergeCell ref="B2:E2"/>
    <mergeCell ref="B3:E3"/>
    <mergeCell ref="B4:E4"/>
  </mergeCells>
  <dataValidations count="2">
    <dataValidation allowBlank="1" showErrorMessage="1" sqref="F10 I10 L10" xr:uid="{00000000-0002-0000-0400-000000000000}">
      <formula1>0</formula1>
      <formula2>0</formula2>
    </dataValidation>
    <dataValidation type="list" allowBlank="1" showErrorMessage="1" sqref="G2:G3 J2:J3 M2:M3 G9 J9 M9 F12:F17 I12:I17 L12:L17 G18:G145 J18:J145 M18:M145" xr:uid="{00000000-0002-0000-0400-000001000000}">
      <formula1>$R$2:$R$5</formula1>
      <formula2>0</formula2>
    </dataValidation>
  </dataValidations>
  <pageMargins left="0.74791666666666701" right="0.25" top="0.75" bottom="0.98402777777777795" header="0.5" footer="0.5"/>
  <pageSetup paperSize="9" orientation="landscape" horizontalDpi="300" verticalDpi="300"/>
  <headerFooter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R21"/>
  <sheetViews>
    <sheetView topLeftCell="A12" zoomScaleNormal="100" workbookViewId="0">
      <selection activeCell="G11" sqref="A10:O19"/>
    </sheetView>
  </sheetViews>
  <sheetFormatPr defaultColWidth="9" defaultRowHeight="12.45" outlineLevelRow="1" outlineLevelCol="1"/>
  <cols>
    <col min="1" max="1" width="17" style="19" customWidth="1"/>
    <col min="2" max="2" width="34.4609375" style="19" customWidth="1"/>
    <col min="3" max="3" width="33.3046875" style="19" customWidth="1"/>
    <col min="4" max="4" width="34.61328125" style="19" customWidth="1"/>
    <col min="5" max="5" width="28.3046875" style="19" customWidth="1"/>
    <col min="6" max="6" width="9.3046875" style="19" customWidth="1"/>
    <col min="7" max="7" width="13" style="19" customWidth="1" outlineLevel="1"/>
    <col min="8" max="8" width="7" style="19" customWidth="1" outlineLevel="1"/>
    <col min="9" max="9" width="9.3046875" style="19" customWidth="1"/>
    <col min="10" max="10" width="13" style="19" customWidth="1" outlineLevel="1"/>
    <col min="11" max="11" width="7" style="19" customWidth="1" outlineLevel="1"/>
    <col min="12" max="12" width="9.3046875" style="19" customWidth="1"/>
    <col min="13" max="13" width="13" style="19" customWidth="1" outlineLevel="1"/>
    <col min="14" max="14" width="7" style="19" customWidth="1" outlineLevel="1"/>
    <col min="15" max="15" width="28.61328125" style="19" customWidth="1"/>
    <col min="16" max="16" width="10.07421875" style="19" customWidth="1"/>
    <col min="17" max="17" width="8.07421875" style="101" customWidth="1"/>
    <col min="18" max="18" width="7.69140625" style="19" hidden="1" customWidth="1"/>
    <col min="19" max="16384" width="9" style="19"/>
  </cols>
  <sheetData>
    <row r="1" spans="1:18" ht="13.5" customHeight="1"/>
    <row r="2" spans="1:18" s="106" customFormat="1" ht="15" customHeight="1">
      <c r="A2" s="102" t="s">
        <v>56</v>
      </c>
      <c r="B2" s="12" t="s">
        <v>164</v>
      </c>
      <c r="C2" s="12"/>
      <c r="D2" s="12"/>
      <c r="E2" s="12"/>
      <c r="F2" s="103"/>
      <c r="G2" s="104"/>
      <c r="H2" s="51"/>
      <c r="I2" s="103"/>
      <c r="J2" s="104"/>
      <c r="K2" s="51"/>
      <c r="L2" s="103"/>
      <c r="M2" s="104"/>
      <c r="N2" s="51"/>
      <c r="O2" s="51"/>
      <c r="P2" s="51"/>
      <c r="Q2" s="105"/>
      <c r="R2" s="106" t="s">
        <v>47</v>
      </c>
    </row>
    <row r="3" spans="1:18" s="106" customFormat="1" ht="26.25" customHeight="1">
      <c r="A3" s="107" t="s">
        <v>58</v>
      </c>
      <c r="B3" s="11" t="s">
        <v>165</v>
      </c>
      <c r="C3" s="11"/>
      <c r="D3" s="11"/>
      <c r="E3" s="11"/>
      <c r="F3" s="103"/>
      <c r="G3" s="104"/>
      <c r="H3" s="51"/>
      <c r="I3" s="103"/>
      <c r="J3" s="104"/>
      <c r="K3" s="51"/>
      <c r="L3" s="103"/>
      <c r="M3" s="104"/>
      <c r="N3" s="51"/>
      <c r="O3" s="51"/>
      <c r="P3" s="51"/>
      <c r="Q3" s="105"/>
      <c r="R3" s="106" t="s">
        <v>48</v>
      </c>
    </row>
    <row r="4" spans="1:18" s="106" customFormat="1" ht="18" customHeight="1">
      <c r="A4" s="107" t="s">
        <v>60</v>
      </c>
      <c r="B4" s="11">
        <f>COUNTA(A12:A998)</f>
        <v>8</v>
      </c>
      <c r="C4" s="11"/>
      <c r="D4" s="11"/>
      <c r="E4" s="11"/>
      <c r="F4" s="103"/>
      <c r="G4" s="104"/>
      <c r="H4" s="51"/>
      <c r="I4" s="103"/>
      <c r="J4" s="104"/>
      <c r="K4" s="51"/>
      <c r="L4" s="103"/>
      <c r="M4" s="104"/>
      <c r="N4" s="51"/>
      <c r="O4" s="51"/>
      <c r="P4" s="51"/>
      <c r="Q4" s="105"/>
      <c r="R4" s="106" t="s">
        <v>49</v>
      </c>
    </row>
    <row r="5" spans="1:18" s="106" customFormat="1" ht="19.5" customHeight="1">
      <c r="A5" s="108" t="s">
        <v>61</v>
      </c>
      <c r="B5" s="109" t="s">
        <v>47</v>
      </c>
      <c r="C5" s="109" t="s">
        <v>48</v>
      </c>
      <c r="D5" s="109" t="s">
        <v>49</v>
      </c>
      <c r="E5" s="110" t="s">
        <v>50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6" t="s">
        <v>50</v>
      </c>
    </row>
    <row r="6" spans="1:18" s="106" customFormat="1" ht="15" customHeight="1">
      <c r="A6" s="108" t="s">
        <v>62</v>
      </c>
      <c r="B6" s="114">
        <f>COUNTIF($F10:$F996,B5)</f>
        <v>7</v>
      </c>
      <c r="C6" s="114">
        <f>COUNTIF($F10:$F996,C5)</f>
        <v>0</v>
      </c>
      <c r="D6" s="114">
        <f>COUNTIF($F10:$F996,D5)</f>
        <v>0</v>
      </c>
      <c r="E6" s="115">
        <f>COUNTIF($F10:$F996,E5)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pans="1:18" s="106" customFormat="1" ht="15" customHeight="1">
      <c r="A7" s="108" t="s">
        <v>63</v>
      </c>
      <c r="B7" s="114">
        <f>COUNTIF($F10:$F996,B5)</f>
        <v>7</v>
      </c>
      <c r="C7" s="114">
        <f>COUNTIF($F10:$F996,C5)</f>
        <v>0</v>
      </c>
      <c r="D7" s="114">
        <f>COUNTIF($F10:$F996,D5)</f>
        <v>0</v>
      </c>
      <c r="E7" s="115">
        <f>COUNTIF($F10:$F996,E5)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pans="1:18" s="106" customFormat="1" ht="15" customHeight="1">
      <c r="A8" s="117" t="s">
        <v>64</v>
      </c>
      <c r="B8" s="118">
        <f>COUNTIF($F10:$F996,B5)</f>
        <v>7</v>
      </c>
      <c r="C8" s="118">
        <f>COUNTIF($F10:$F996,C5)</f>
        <v>0</v>
      </c>
      <c r="D8" s="118">
        <f>COUNTIF($F10:$F996,D5)</f>
        <v>0</v>
      </c>
      <c r="E8" s="119">
        <f>COUNTIF($F10:$F996,E5)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pans="1:18" s="106" customFormat="1" ht="15" customHeight="1">
      <c r="A9" s="112"/>
      <c r="B9" s="112"/>
      <c r="C9" s="112"/>
      <c r="D9" s="112"/>
      <c r="E9" s="112"/>
      <c r="F9" s="100"/>
      <c r="G9" s="112"/>
      <c r="H9" s="112"/>
      <c r="I9" s="100"/>
      <c r="J9" s="112"/>
      <c r="K9" s="112"/>
      <c r="L9" s="100"/>
      <c r="M9" s="112"/>
      <c r="N9" s="112"/>
      <c r="O9" s="112"/>
      <c r="P9" s="112"/>
      <c r="Q9" s="113"/>
    </row>
    <row r="10" spans="1:18" s="106" customFormat="1" ht="25.5" customHeight="1">
      <c r="A10" s="125" t="s">
        <v>65</v>
      </c>
      <c r="B10" s="125" t="s">
        <v>66</v>
      </c>
      <c r="C10" s="125" t="s">
        <v>67</v>
      </c>
      <c r="D10" s="125" t="s">
        <v>68</v>
      </c>
      <c r="E10" s="125" t="s">
        <v>69</v>
      </c>
      <c r="F10" s="125" t="s">
        <v>62</v>
      </c>
      <c r="G10" s="125" t="s">
        <v>70</v>
      </c>
      <c r="H10" s="125" t="s">
        <v>71</v>
      </c>
      <c r="I10" s="125" t="s">
        <v>63</v>
      </c>
      <c r="J10" s="125" t="s">
        <v>70</v>
      </c>
      <c r="K10" s="125" t="s">
        <v>71</v>
      </c>
      <c r="L10" s="125" t="s">
        <v>64</v>
      </c>
      <c r="M10" s="125" t="s">
        <v>70</v>
      </c>
      <c r="N10" s="125" t="s">
        <v>71</v>
      </c>
      <c r="O10" s="125" t="s">
        <v>72</v>
      </c>
      <c r="Q10" s="120"/>
    </row>
    <row r="11" spans="1:18" s="106" customFormat="1" ht="15.75" customHeight="1">
      <c r="A11" s="123" t="s">
        <v>166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</row>
    <row r="12" spans="1:18" s="121" customFormat="1" ht="120.75" customHeight="1" outlineLevel="1">
      <c r="A12" s="126" t="s">
        <v>167</v>
      </c>
      <c r="B12" s="126" t="s">
        <v>168</v>
      </c>
      <c r="C12" s="127" t="s">
        <v>169</v>
      </c>
      <c r="D12" s="126" t="s">
        <v>170</v>
      </c>
      <c r="E12" s="126" t="s">
        <v>171</v>
      </c>
      <c r="F12" s="126" t="s">
        <v>47</v>
      </c>
      <c r="G12" s="122">
        <v>46177</v>
      </c>
      <c r="H12" s="126" t="s">
        <v>85</v>
      </c>
      <c r="I12" s="126" t="s">
        <v>47</v>
      </c>
      <c r="J12" s="122">
        <v>46199</v>
      </c>
      <c r="K12" s="126" t="s">
        <v>85</v>
      </c>
      <c r="L12" s="126" t="s">
        <v>47</v>
      </c>
      <c r="M12" s="122">
        <v>46199</v>
      </c>
      <c r="N12" s="126" t="s">
        <v>78</v>
      </c>
      <c r="O12" s="126"/>
    </row>
    <row r="13" spans="1:18" ht="23.25" customHeight="1" outlineLevel="1">
      <c r="A13" s="124" t="s">
        <v>172</v>
      </c>
      <c r="B13" s="124" t="s">
        <v>173</v>
      </c>
      <c r="C13" s="128" t="s">
        <v>174</v>
      </c>
      <c r="D13" s="124" t="s">
        <v>175</v>
      </c>
      <c r="E13" s="124" t="s">
        <v>176</v>
      </c>
      <c r="F13" s="124" t="s">
        <v>47</v>
      </c>
      <c r="G13" s="122">
        <v>46181</v>
      </c>
      <c r="H13" s="124" t="s">
        <v>78</v>
      </c>
      <c r="I13" s="124" t="s">
        <v>47</v>
      </c>
      <c r="J13" s="122">
        <v>46202</v>
      </c>
      <c r="K13" s="124" t="s">
        <v>78</v>
      </c>
      <c r="L13" s="124" t="s">
        <v>47</v>
      </c>
      <c r="M13" s="122">
        <v>46202</v>
      </c>
      <c r="N13" s="124" t="s">
        <v>79</v>
      </c>
      <c r="O13" s="124"/>
    </row>
    <row r="14" spans="1:18" ht="23.25" customHeight="1" outlineLevel="1">
      <c r="A14" s="124" t="s">
        <v>177</v>
      </c>
      <c r="B14" s="124" t="s">
        <v>178</v>
      </c>
      <c r="C14" s="124" t="s">
        <v>179</v>
      </c>
      <c r="D14" s="124" t="s">
        <v>180</v>
      </c>
      <c r="E14" s="124" t="s">
        <v>181</v>
      </c>
      <c r="F14" s="124" t="s">
        <v>47</v>
      </c>
      <c r="G14" s="122">
        <v>46183</v>
      </c>
      <c r="H14" s="124" t="s">
        <v>79</v>
      </c>
      <c r="I14" s="124" t="s">
        <v>47</v>
      </c>
      <c r="J14" s="122">
        <v>46204</v>
      </c>
      <c r="K14" s="124" t="s">
        <v>79</v>
      </c>
      <c r="L14" s="124" t="s">
        <v>47</v>
      </c>
      <c r="M14" s="122">
        <v>46204</v>
      </c>
      <c r="N14" s="124" t="s">
        <v>85</v>
      </c>
      <c r="O14" s="124"/>
    </row>
    <row r="15" spans="1:18" s="106" customFormat="1" ht="15.75" customHeight="1">
      <c r="A15" s="123" t="s">
        <v>182</v>
      </c>
      <c r="B15" s="123" t="s">
        <v>183</v>
      </c>
      <c r="C15" s="129" t="s">
        <v>184</v>
      </c>
      <c r="D15" s="123" t="s">
        <v>185</v>
      </c>
      <c r="E15" s="123" t="s">
        <v>186</v>
      </c>
      <c r="F15" s="123" t="s">
        <v>47</v>
      </c>
      <c r="G15" s="122">
        <v>46185</v>
      </c>
      <c r="H15" s="123" t="s">
        <v>85</v>
      </c>
      <c r="I15" s="123" t="s">
        <v>47</v>
      </c>
      <c r="J15" s="122">
        <v>46206</v>
      </c>
      <c r="K15" s="123" t="s">
        <v>85</v>
      </c>
      <c r="L15" s="123" t="s">
        <v>47</v>
      </c>
      <c r="M15" s="122">
        <v>46206</v>
      </c>
      <c r="N15" s="123" t="s">
        <v>78</v>
      </c>
      <c r="O15" s="123"/>
    </row>
    <row r="16" spans="1:18" ht="34.5" customHeight="1" outlineLevel="1">
      <c r="A16" s="124" t="s">
        <v>187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</row>
    <row r="17" spans="1:15" ht="23.25" customHeight="1" outlineLevel="1">
      <c r="A17" s="124" t="s">
        <v>188</v>
      </c>
      <c r="B17" s="124" t="s">
        <v>189</v>
      </c>
      <c r="C17" s="128" t="s">
        <v>190</v>
      </c>
      <c r="D17" s="124" t="s">
        <v>191</v>
      </c>
      <c r="E17" s="124" t="s">
        <v>192</v>
      </c>
      <c r="F17" s="124" t="s">
        <v>47</v>
      </c>
      <c r="G17" s="122">
        <v>46188</v>
      </c>
      <c r="H17" s="124" t="s">
        <v>78</v>
      </c>
      <c r="I17" s="124" t="s">
        <v>47</v>
      </c>
      <c r="J17" s="122">
        <v>46209</v>
      </c>
      <c r="K17" s="124" t="s">
        <v>78</v>
      </c>
      <c r="L17" s="124" t="s">
        <v>47</v>
      </c>
      <c r="M17" s="122">
        <v>46209</v>
      </c>
      <c r="N17" s="124" t="s">
        <v>79</v>
      </c>
      <c r="O17" s="124"/>
    </row>
    <row r="18" spans="1:15" ht="12.75" customHeight="1">
      <c r="A18" s="124" t="s">
        <v>193</v>
      </c>
      <c r="B18" s="124" t="s">
        <v>194</v>
      </c>
      <c r="C18" s="128" t="s">
        <v>195</v>
      </c>
      <c r="D18" s="124" t="s">
        <v>196</v>
      </c>
      <c r="E18" s="124" t="s">
        <v>20</v>
      </c>
      <c r="F18" s="124" t="s">
        <v>47</v>
      </c>
      <c r="G18" s="122">
        <v>46190</v>
      </c>
      <c r="H18" s="124" t="s">
        <v>79</v>
      </c>
      <c r="I18" s="124" t="s">
        <v>48</v>
      </c>
      <c r="J18" s="122">
        <v>46211</v>
      </c>
      <c r="K18" s="124" t="s">
        <v>79</v>
      </c>
      <c r="L18" s="124" t="s">
        <v>48</v>
      </c>
      <c r="M18" s="122">
        <v>46211</v>
      </c>
      <c r="N18" s="124" t="s">
        <v>85</v>
      </c>
      <c r="O18" s="124"/>
    </row>
    <row r="19" spans="1:15" ht="34.5" customHeight="1">
      <c r="A19" s="124" t="s">
        <v>197</v>
      </c>
      <c r="B19" s="124" t="s">
        <v>198</v>
      </c>
      <c r="C19" s="124" t="s">
        <v>199</v>
      </c>
      <c r="D19" s="124" t="s">
        <v>200</v>
      </c>
      <c r="E19" s="124" t="s">
        <v>201</v>
      </c>
      <c r="F19" s="124" t="s">
        <v>47</v>
      </c>
      <c r="G19" s="122">
        <v>46192</v>
      </c>
      <c r="H19" s="124" t="s">
        <v>85</v>
      </c>
      <c r="I19" s="124" t="s">
        <v>47</v>
      </c>
      <c r="J19" s="122">
        <v>46213</v>
      </c>
      <c r="K19" s="124" t="s">
        <v>85</v>
      </c>
      <c r="L19" s="124" t="s">
        <v>47</v>
      </c>
      <c r="M19" s="122">
        <v>46213</v>
      </c>
      <c r="N19" s="124" t="s">
        <v>78</v>
      </c>
      <c r="O19" s="124"/>
    </row>
    <row r="20" spans="1:15" ht="23.25" customHeight="1"/>
    <row r="21" spans="1:15" ht="23.25" customHeight="1"/>
  </sheetData>
  <mergeCells count="3">
    <mergeCell ref="B2:E2"/>
    <mergeCell ref="B3:E3"/>
    <mergeCell ref="B4:E4"/>
  </mergeCells>
  <pageMargins left="0.74791666666666701" right="0.25" top="0.75" bottom="0.98402777777777795" header="0.511811023622047" footer="0.511811023622047"/>
  <pageSetup paperSize="9" orientation="landscape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R21"/>
  <sheetViews>
    <sheetView topLeftCell="C12" zoomScaleNormal="100" workbookViewId="0">
      <selection activeCell="E13" sqref="A10:O17"/>
    </sheetView>
  </sheetViews>
  <sheetFormatPr defaultColWidth="9" defaultRowHeight="12.45" outlineLevelRow="1" outlineLevelCol="1"/>
  <cols>
    <col min="1" max="1" width="17" style="19" customWidth="1"/>
    <col min="2" max="2" width="34.4609375" style="19" customWidth="1"/>
    <col min="3" max="3" width="33.3046875" style="19" customWidth="1"/>
    <col min="4" max="4" width="34.61328125" style="19" customWidth="1"/>
    <col min="5" max="5" width="28.3046875" style="19" customWidth="1"/>
    <col min="6" max="6" width="9.3046875" style="19" customWidth="1"/>
    <col min="7" max="7" width="13" style="19" customWidth="1" outlineLevel="1"/>
    <col min="8" max="8" width="7" style="19" customWidth="1" outlineLevel="1"/>
    <col min="9" max="9" width="9.3046875" style="19" customWidth="1"/>
    <col min="10" max="10" width="13" style="19" customWidth="1" outlineLevel="1"/>
    <col min="11" max="11" width="7" style="19" customWidth="1" outlineLevel="1"/>
    <col min="12" max="12" width="9.3046875" style="19" customWidth="1"/>
    <col min="13" max="13" width="13" style="19" customWidth="1" outlineLevel="1"/>
    <col min="14" max="14" width="7" style="19" customWidth="1" outlineLevel="1"/>
    <col min="15" max="15" width="28.61328125" style="19" customWidth="1"/>
    <col min="16" max="16" width="10.07421875" style="19" customWidth="1"/>
    <col min="17" max="17" width="8.07421875" style="101" customWidth="1"/>
    <col min="18" max="18" width="7.69140625" style="19" hidden="1" customWidth="1"/>
    <col min="19" max="16384" width="9" style="19"/>
  </cols>
  <sheetData>
    <row r="1" spans="1:18" ht="13.5" customHeight="1"/>
    <row r="2" spans="1:18" s="106" customFormat="1" ht="15" customHeight="1">
      <c r="A2" s="102" t="s">
        <v>56</v>
      </c>
      <c r="B2" s="12" t="s">
        <v>202</v>
      </c>
      <c r="C2" s="12"/>
      <c r="D2" s="12"/>
      <c r="E2" s="12"/>
      <c r="F2" s="103"/>
      <c r="G2" s="104"/>
      <c r="H2" s="51"/>
      <c r="I2" s="103"/>
      <c r="J2" s="104"/>
      <c r="K2" s="51"/>
      <c r="L2" s="103"/>
      <c r="M2" s="104"/>
      <c r="N2" s="51"/>
      <c r="O2" s="51"/>
      <c r="P2" s="51"/>
      <c r="Q2" s="105"/>
      <c r="R2" s="106" t="s">
        <v>47</v>
      </c>
    </row>
    <row r="3" spans="1:18" s="106" customFormat="1" ht="26.25" customHeight="1">
      <c r="A3" s="107" t="s">
        <v>58</v>
      </c>
      <c r="B3" s="11" t="s">
        <v>203</v>
      </c>
      <c r="C3" s="11"/>
      <c r="D3" s="11"/>
      <c r="E3" s="11"/>
      <c r="F3" s="103"/>
      <c r="G3" s="104"/>
      <c r="H3" s="51"/>
      <c r="I3" s="103"/>
      <c r="J3" s="104"/>
      <c r="K3" s="51"/>
      <c r="L3" s="103"/>
      <c r="M3" s="104"/>
      <c r="N3" s="51"/>
      <c r="O3" s="51"/>
      <c r="P3" s="51"/>
      <c r="Q3" s="105"/>
      <c r="R3" s="106" t="s">
        <v>48</v>
      </c>
    </row>
    <row r="4" spans="1:18" s="106" customFormat="1" ht="18" customHeight="1">
      <c r="A4" s="107" t="s">
        <v>60</v>
      </c>
      <c r="B4" s="11">
        <f>COUNTA(A12:A998)</f>
        <v>6</v>
      </c>
      <c r="C4" s="11"/>
      <c r="D4" s="11"/>
      <c r="E4" s="11"/>
      <c r="F4" s="103"/>
      <c r="G4" s="104"/>
      <c r="H4" s="51"/>
      <c r="I4" s="103"/>
      <c r="J4" s="104"/>
      <c r="K4" s="51"/>
      <c r="L4" s="103"/>
      <c r="M4" s="104"/>
      <c r="N4" s="51"/>
      <c r="O4" s="51"/>
      <c r="P4" s="51"/>
      <c r="Q4" s="105"/>
      <c r="R4" s="106" t="s">
        <v>49</v>
      </c>
    </row>
    <row r="5" spans="1:18" s="106" customFormat="1" ht="19.5" customHeight="1">
      <c r="A5" s="108" t="s">
        <v>61</v>
      </c>
      <c r="B5" s="109" t="s">
        <v>47</v>
      </c>
      <c r="C5" s="109" t="s">
        <v>48</v>
      </c>
      <c r="D5" s="109" t="s">
        <v>49</v>
      </c>
      <c r="E5" s="110" t="s">
        <v>50</v>
      </c>
      <c r="F5" s="111"/>
      <c r="G5" s="111"/>
      <c r="H5" s="112"/>
      <c r="I5" s="111"/>
      <c r="J5" s="111"/>
      <c r="K5" s="112"/>
      <c r="L5" s="111"/>
      <c r="M5" s="111"/>
      <c r="N5" s="112"/>
      <c r="O5" s="112"/>
      <c r="P5" s="112"/>
      <c r="Q5" s="113"/>
      <c r="R5" s="106" t="s">
        <v>50</v>
      </c>
    </row>
    <row r="6" spans="1:18" s="106" customFormat="1" ht="15" customHeight="1">
      <c r="A6" s="108" t="s">
        <v>62</v>
      </c>
      <c r="B6" s="114">
        <f>COUNTIF($F10:$F996,B5)</f>
        <v>5</v>
      </c>
      <c r="C6" s="114">
        <f>COUNTIF($F10:$F996,C5)</f>
        <v>0</v>
      </c>
      <c r="D6" s="114">
        <f>COUNTIF($F10:$F996,D5)</f>
        <v>0</v>
      </c>
      <c r="E6" s="115">
        <f>COUNTIF($F10:$F996,E5)</f>
        <v>0</v>
      </c>
      <c r="F6" s="116"/>
      <c r="G6" s="116"/>
      <c r="H6" s="112"/>
      <c r="I6" s="116"/>
      <c r="J6" s="116"/>
      <c r="K6" s="112"/>
      <c r="L6" s="116"/>
      <c r="M6" s="116"/>
      <c r="N6" s="112"/>
      <c r="O6" s="112"/>
      <c r="P6" s="112"/>
      <c r="Q6" s="113"/>
    </row>
    <row r="7" spans="1:18" s="106" customFormat="1" ht="15" customHeight="1">
      <c r="A7" s="108" t="s">
        <v>63</v>
      </c>
      <c r="B7" s="114">
        <f>COUNTIF($F10:$F996,B5)</f>
        <v>5</v>
      </c>
      <c r="C7" s="114">
        <f>COUNTIF($F10:$F996,C5)</f>
        <v>0</v>
      </c>
      <c r="D7" s="114">
        <f>COUNTIF($F10:$F996,D5)</f>
        <v>0</v>
      </c>
      <c r="E7" s="115">
        <f>COUNTIF($F10:$F996,E5)</f>
        <v>0</v>
      </c>
      <c r="F7" s="116"/>
      <c r="G7" s="116"/>
      <c r="H7" s="112"/>
      <c r="I7" s="116"/>
      <c r="J7" s="116"/>
      <c r="K7" s="112"/>
      <c r="L7" s="116"/>
      <c r="M7" s="116"/>
      <c r="N7" s="112"/>
      <c r="O7" s="112"/>
      <c r="P7" s="112"/>
      <c r="Q7" s="113"/>
    </row>
    <row r="8" spans="1:18" s="106" customFormat="1" ht="15" customHeight="1">
      <c r="A8" s="117" t="s">
        <v>64</v>
      </c>
      <c r="B8" s="118">
        <f>COUNTIF($F10:$F996,B5)</f>
        <v>5</v>
      </c>
      <c r="C8" s="118">
        <f>COUNTIF($F10:$F996,C5)</f>
        <v>0</v>
      </c>
      <c r="D8" s="118">
        <f>COUNTIF($F10:$F996,D5)</f>
        <v>0</v>
      </c>
      <c r="E8" s="119">
        <f>COUNTIF($F10:$F996,E5)</f>
        <v>0</v>
      </c>
      <c r="F8" s="116"/>
      <c r="G8" s="116"/>
      <c r="H8" s="112"/>
      <c r="I8" s="116"/>
      <c r="J8" s="116"/>
      <c r="K8" s="112"/>
      <c r="L8" s="116"/>
      <c r="M8" s="116"/>
      <c r="N8" s="112"/>
      <c r="O8" s="112"/>
      <c r="P8" s="112"/>
      <c r="Q8" s="113"/>
    </row>
    <row r="9" spans="1:18" s="106" customFormat="1" ht="15" customHeight="1">
      <c r="A9" s="112"/>
      <c r="B9" s="112"/>
      <c r="C9" s="112"/>
      <c r="D9" s="112"/>
      <c r="E9" s="112"/>
      <c r="F9" s="100"/>
      <c r="G9" s="112"/>
      <c r="H9" s="112"/>
      <c r="I9" s="100"/>
      <c r="J9" s="112"/>
      <c r="K9" s="112"/>
      <c r="L9" s="100"/>
      <c r="M9" s="112"/>
      <c r="N9" s="112"/>
      <c r="O9" s="112"/>
      <c r="P9" s="112"/>
      <c r="Q9" s="113"/>
    </row>
    <row r="10" spans="1:18" s="106" customFormat="1" ht="25.5" customHeight="1">
      <c r="A10" s="125" t="s">
        <v>65</v>
      </c>
      <c r="B10" s="125" t="s">
        <v>66</v>
      </c>
      <c r="C10" s="125" t="s">
        <v>67</v>
      </c>
      <c r="D10" s="125" t="s">
        <v>68</v>
      </c>
      <c r="E10" s="125" t="s">
        <v>69</v>
      </c>
      <c r="F10" s="125" t="s">
        <v>62</v>
      </c>
      <c r="G10" s="125" t="s">
        <v>70</v>
      </c>
      <c r="H10" s="125" t="s">
        <v>71</v>
      </c>
      <c r="I10" s="125" t="s">
        <v>63</v>
      </c>
      <c r="J10" s="125" t="s">
        <v>70</v>
      </c>
      <c r="K10" s="125" t="s">
        <v>71</v>
      </c>
      <c r="L10" s="125" t="s">
        <v>64</v>
      </c>
      <c r="M10" s="125" t="s">
        <v>70</v>
      </c>
      <c r="N10" s="125" t="s">
        <v>71</v>
      </c>
      <c r="O10" s="125" t="s">
        <v>72</v>
      </c>
      <c r="Q10" s="120"/>
    </row>
    <row r="11" spans="1:18" s="106" customFormat="1" ht="15.75" customHeight="1">
      <c r="A11" s="123" t="s">
        <v>204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</row>
    <row r="12" spans="1:18" s="121" customFormat="1" ht="120.75" customHeight="1" outlineLevel="1">
      <c r="A12" s="126" t="s">
        <v>205</v>
      </c>
      <c r="B12" s="126" t="s">
        <v>206</v>
      </c>
      <c r="C12" s="127" t="s">
        <v>207</v>
      </c>
      <c r="D12" s="126" t="s">
        <v>208</v>
      </c>
      <c r="E12" s="126" t="s">
        <v>209</v>
      </c>
      <c r="F12" s="126" t="s">
        <v>47</v>
      </c>
      <c r="G12" s="122">
        <v>46175</v>
      </c>
      <c r="H12" s="126" t="s">
        <v>78</v>
      </c>
      <c r="I12" s="126" t="s">
        <v>47</v>
      </c>
      <c r="J12" s="122">
        <v>46197</v>
      </c>
      <c r="K12" s="126" t="s">
        <v>78</v>
      </c>
      <c r="L12" s="126" t="s">
        <v>47</v>
      </c>
      <c r="M12" s="122">
        <v>46197</v>
      </c>
      <c r="N12" s="126" t="s">
        <v>79</v>
      </c>
      <c r="O12" s="126"/>
    </row>
    <row r="13" spans="1:18" ht="23.25" customHeight="1" outlineLevel="1">
      <c r="A13" s="124" t="s">
        <v>210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</row>
    <row r="14" spans="1:18" ht="23.25" customHeight="1" outlineLevel="1">
      <c r="A14" s="124" t="s">
        <v>211</v>
      </c>
      <c r="B14" s="124" t="s">
        <v>212</v>
      </c>
      <c r="C14" s="128" t="s">
        <v>213</v>
      </c>
      <c r="D14" s="124" t="s">
        <v>214</v>
      </c>
      <c r="E14" s="124" t="s">
        <v>215</v>
      </c>
      <c r="F14" s="124" t="s">
        <v>47</v>
      </c>
      <c r="G14" s="122">
        <v>46177</v>
      </c>
      <c r="H14" s="124" t="s">
        <v>79</v>
      </c>
      <c r="I14" s="124" t="s">
        <v>47</v>
      </c>
      <c r="J14" s="122">
        <v>46199</v>
      </c>
      <c r="K14" s="124" t="s">
        <v>79</v>
      </c>
      <c r="L14" s="124" t="s">
        <v>47</v>
      </c>
      <c r="M14" s="122">
        <v>46199</v>
      </c>
      <c r="N14" s="124" t="s">
        <v>85</v>
      </c>
      <c r="O14" s="124"/>
    </row>
    <row r="15" spans="1:18" s="106" customFormat="1" ht="15.75" customHeight="1">
      <c r="A15" s="123" t="s">
        <v>216</v>
      </c>
      <c r="B15" s="123" t="s">
        <v>217</v>
      </c>
      <c r="C15" s="123" t="s">
        <v>218</v>
      </c>
      <c r="D15" s="123" t="s">
        <v>219</v>
      </c>
      <c r="E15" s="123" t="s">
        <v>20</v>
      </c>
      <c r="F15" s="123" t="s">
        <v>47</v>
      </c>
      <c r="G15" s="122">
        <v>46181</v>
      </c>
      <c r="H15" s="123" t="s">
        <v>85</v>
      </c>
      <c r="I15" s="123" t="s">
        <v>47</v>
      </c>
      <c r="J15" s="122">
        <v>46202</v>
      </c>
      <c r="K15" s="123" t="s">
        <v>85</v>
      </c>
      <c r="L15" s="123" t="s">
        <v>47</v>
      </c>
      <c r="M15" s="122">
        <v>46202</v>
      </c>
      <c r="N15" s="123" t="s">
        <v>78</v>
      </c>
      <c r="O15" s="123"/>
    </row>
    <row r="16" spans="1:18" ht="34.5" customHeight="1" outlineLevel="1">
      <c r="A16" s="124" t="s">
        <v>220</v>
      </c>
      <c r="B16" s="124" t="s">
        <v>221</v>
      </c>
      <c r="C16" s="124" t="s">
        <v>222</v>
      </c>
      <c r="D16" s="124" t="s">
        <v>223</v>
      </c>
      <c r="E16" s="124" t="s">
        <v>224</v>
      </c>
      <c r="F16" s="124" t="s">
        <v>47</v>
      </c>
      <c r="G16" s="122">
        <v>46183</v>
      </c>
      <c r="H16" s="124" t="s">
        <v>78</v>
      </c>
      <c r="I16" s="124" t="s">
        <v>47</v>
      </c>
      <c r="J16" s="122">
        <v>46204</v>
      </c>
      <c r="K16" s="124" t="s">
        <v>78</v>
      </c>
      <c r="L16" s="124" t="s">
        <v>47</v>
      </c>
      <c r="M16" s="122">
        <v>46204</v>
      </c>
      <c r="N16" s="124" t="s">
        <v>79</v>
      </c>
      <c r="O16" s="124"/>
    </row>
    <row r="17" spans="1:15" ht="23.25" customHeight="1" outlineLevel="1">
      <c r="A17" s="124" t="s">
        <v>225</v>
      </c>
      <c r="B17" s="124" t="s">
        <v>226</v>
      </c>
      <c r="C17" s="124" t="s">
        <v>227</v>
      </c>
      <c r="D17" s="124" t="s">
        <v>228</v>
      </c>
      <c r="E17" s="124" t="s">
        <v>229</v>
      </c>
      <c r="F17" s="124" t="s">
        <v>47</v>
      </c>
      <c r="G17" s="122">
        <v>46185</v>
      </c>
      <c r="H17" s="124" t="s">
        <v>79</v>
      </c>
      <c r="I17" s="124" t="s">
        <v>47</v>
      </c>
      <c r="J17" s="122">
        <v>46206</v>
      </c>
      <c r="K17" s="124" t="s">
        <v>79</v>
      </c>
      <c r="L17" s="124" t="s">
        <v>47</v>
      </c>
      <c r="M17" s="122">
        <v>46206</v>
      </c>
      <c r="N17" s="124" t="s">
        <v>85</v>
      </c>
      <c r="O17" s="124"/>
    </row>
    <row r="18" spans="1:15" ht="12.75" customHeight="1"/>
    <row r="19" spans="1:15" ht="34.5" customHeight="1"/>
    <row r="20" spans="1:15" ht="23.25" customHeight="1"/>
    <row r="21" spans="1:15" ht="23.25" customHeight="1"/>
  </sheetData>
  <mergeCells count="3">
    <mergeCell ref="B2:E2"/>
    <mergeCell ref="B3:E3"/>
    <mergeCell ref="B4:E4"/>
  </mergeCells>
  <pageMargins left="0.74791666666666701" right="0.25" top="0.75" bottom="0.98402777777777795" header="0.511811023622047" footer="0.511811023622047"/>
  <pageSetup paperSize="9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Cases</vt:lpstr>
      <vt:lpstr>Test Statistics</vt:lpstr>
      <vt:lpstr>Authentication</vt:lpstr>
      <vt:lpstr>Event Management</vt:lpstr>
      <vt:lpstr>Registration &amp; Ticketing</vt:lpstr>
      <vt:lpstr>Check-in &amp; 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reviewer/approver._x005f_x000d_
Add sheet Test Case List._x005f_x000d_
Change Sheet Company, User, Provider to Modules. Add column Inter-test case dependent. Update these sheets._x005f_x000d_
Update Test Report</dc:description>
  <cp:lastModifiedBy>Trần Xuân Thuận</cp:lastModifiedBy>
  <cp:revision>0</cp:revision>
  <cp:lastPrinted>2010-11-12T10:33:20Z</cp:lastPrinted>
  <dcterms:created xsi:type="dcterms:W3CDTF">2020-03-17T17:34:29Z</dcterms:created>
  <dcterms:modified xsi:type="dcterms:W3CDTF">2026-07-13T15:25:28Z</dcterms:modified>
  <cp:category>BM</cp:category>
  <dc:language>en-US</dc:language>
</cp:coreProperties>
</file>
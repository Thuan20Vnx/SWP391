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styles.xml" ContentType="application/vnd.openxmlformats-officedocument.spreadsheetml.style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2.vml" ContentType="application/vnd.openxmlformats-officedocument.vmlDrawing"/>
  <Override PartName="/xl/drawings/vmlDrawing4.vml" ContentType="application/vnd.openxmlformats-officedocument.vmlDrawing"/>
  <Override PartName="/xl/drawings/vmlDrawing1.vml" ContentType="application/vnd.openxmlformats-officedocument.vmlDrawing"/>
  <Override PartName="/xl/drawings/vmlDrawing5.vml" ContentType="application/vnd.openxmlformats-officedocument.vmlDrawing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Cover" sheetId="1" state="visible" r:id="rId3"/>
    <sheet name="Test Cases" sheetId="2" state="visible" r:id="rId4"/>
    <sheet name="Test Statistics" sheetId="3" state="visible" r:id="rId5"/>
    <sheet name="Authentication" sheetId="4" state="visible" r:id="rId6"/>
    <sheet name="Event Management" sheetId="5" state="visible" r:id="rId7"/>
    <sheet name="Registration &amp; Ticketing" sheetId="6" state="visible" r:id="rId8"/>
    <sheet name="Check-in &amp; QR" sheetId="7" state="visible" r:id="rId9"/>
  </sheets>
  <definedNames>
    <definedName function="false" hidden="false" name="ACTION" vbProcedure="false">#ref!</definedName>
    <definedName function="false" hidden="false" localSheetId="0" name="ACTION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None</author>
  </authors>
  <commentList>
    <comment ref="D10" authorId="0">
      <text>
        <r>
          <rPr>
            <sz val="10"/>
            <rFont val="Arial"/>
            <family val="2"/>
          </rPr>
          <t xml:space="preserve">*A: Add
  M: Modify
  D: Delete
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tqsang</author>
  </authors>
  <commentList>
    <comment ref="E10" authorId="0">
      <text>
        <r>
          <rPr>
            <sz val="10"/>
            <rFont val="Arial"/>
            <family val="2"/>
          </rPr>
          <t xml:space="preserve">List all test cases (must run before this case), conditions that must be done, or required state that the system should be in before performing this case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tqsang</author>
  </authors>
  <commentList>
    <comment ref="E10" authorId="0">
      <text>
        <r>
          <rPr>
            <sz val="10"/>
            <rFont val="Arial"/>
            <family val="2"/>
          </rPr>
          <t xml:space="preserve">List all test cases (must run before this case), conditions that must be done, or required state that the system should be in before performing this case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tqsang</author>
  </authors>
  <commentList>
    <comment ref="E10" authorId="0">
      <text>
        <r>
          <rPr>
            <sz val="10"/>
            <rFont val="Arial"/>
            <family val="2"/>
          </rPr>
          <t xml:space="preserve">List all test cases (must run before this case), conditions that must be done, or required state that the system should be in before performing this case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tqsang</author>
  </authors>
  <commentList>
    <comment ref="E10" authorId="0">
      <text>
        <r>
          <rPr>
            <sz val="10"/>
            <rFont val="Arial"/>
            <family val="2"/>
          </rPr>
          <t xml:space="preserve">List all test cases (must run before this case), conditions that must be done, or required state that the system should be in before performing this case</t>
        </r>
      </text>
    </comment>
  </commentList>
</comments>
</file>

<file path=xl/sharedStrings.xml><?xml version="1.0" encoding="utf-8"?>
<sst xmlns="http://schemas.openxmlformats.org/spreadsheetml/2006/main" count="530" uniqueCount="224">
  <si>
    <t xml:space="preserve">TEST REPORT DOCUMENT</t>
  </si>
  <si>
    <t xml:space="preserve">Project Name</t>
  </si>
  <si>
    <t xml:space="preserve">He thong Quan ly Su kien &amp; Ho tro AI</t>
  </si>
  <si>
    <t xml:space="preserve">Creator</t>
  </si>
  <si>
    <t xml:space="preserve">Tran Xuan Thuan</t>
  </si>
  <si>
    <t xml:space="preserve">Project Code</t>
  </si>
  <si>
    <t xml:space="preserve">UEMS</t>
  </si>
  <si>
    <t xml:space="preserve">Issue Date</t>
  </si>
  <si>
    <t xml:space="preserve">Document Code</t>
  </si>
  <si>
    <t xml:space="preserve">Version</t>
  </si>
  <si>
    <t xml:space="preserve">1.0</t>
  </si>
  <si>
    <t xml:space="preserve">Khuu Xuan Nhan</t>
  </si>
  <si>
    <t xml:space="preserve">A</t>
  </si>
  <si>
    <t xml:space="preserve">- Create new test report.
- Add Authentication test cases</t>
  </si>
  <si>
    <t xml:space="preserve">None</t>
  </si>
  <si>
    <t xml:space="preserve">1.1</t>
  </si>
  <si>
    <t xml:space="preserve">- Add Event Management test cases</t>
  </si>
  <si>
    <t xml:space="preserve">1.2</t>
  </si>
  <si>
    <t xml:space="preserve">- Add Registration &amp; Ticketing, Check-in &amp; QR</t>
  </si>
  <si>
    <t xml:space="preserve">1.3</t>
  </si>
  <si>
    <t xml:space="preserve">M</t>
  </si>
  <si>
    <t xml:space="preserve">- Review &amp; update expected results</t>
  </si>
  <si>
    <t xml:space="preserve">TEST CASE LIST</t>
  </si>
  <si>
    <t xml:space="preserve">Test Environment Setup Description</t>
  </si>
  <si>
    <t xml:space="preserve">1. Server: Node.js/Express
2. Database: MongoDB
3. Web Browser: Chrome, Edge
4. Mang LAN/Internet</t>
  </si>
  <si>
    <t xml:space="preserve">No</t>
  </si>
  <si>
    <t xml:space="preserve">Function Name</t>
  </si>
  <si>
    <t xml:space="preserve">Sheet Name</t>
  </si>
  <si>
    <t xml:space="preserve">Description</t>
  </si>
  <si>
    <t xml:space="preserve">Pre-Condition</t>
  </si>
  <si>
    <t xml:space="preserve">Dang ky, Dang nhap, SSO, Quen/Dat lai mat khau</t>
  </si>
  <si>
    <t xml:space="preserve">Tao, de xuat, xet duyet, publish, tim kiem su kien</t>
  </si>
  <si>
    <t xml:space="preserve">Dang ky/huy tham gia, mua ve, thanh toan online</t>
  </si>
  <si>
    <t xml:space="preserve">Tao QR diem danh, quet check-in, thong ke tham gia</t>
  </si>
  <si>
    <t xml:space="preserve">Function E</t>
  </si>
  <si>
    <t xml:space="preserve">Feature2</t>
  </si>
  <si>
    <t xml:space="preserve">TEST STATISTICS</t>
  </si>
  <si>
    <t xml:space="preserve">Reviewer/Approver</t>
  </si>
  <si>
    <t xml:space="preserve">Notes</t>
  </si>
  <si>
    <t xml:space="preserve">Authentication, Event Management, Registration &amp; Ticketing, Check-in &amp; QR</t>
  </si>
  <si>
    <t xml:space="preserve">Module code</t>
  </si>
  <si>
    <t xml:space="preserve">Passed</t>
  </si>
  <si>
    <t xml:space="preserve">Failed</t>
  </si>
  <si>
    <t xml:space="preserve">Pending</t>
  </si>
  <si>
    <t xml:space="preserve">N/A</t>
  </si>
  <si>
    <t xml:space="preserve">Number of  test cases</t>
  </si>
  <si>
    <t xml:space="preserve">Sub total</t>
  </si>
  <si>
    <t xml:space="preserve">Test coverage</t>
  </si>
  <si>
    <t xml:space="preserve">%</t>
  </si>
  <si>
    <t xml:space="preserve">Test successful coverage</t>
  </si>
  <si>
    <t xml:space="preserve">Feature</t>
  </si>
  <si>
    <t xml:space="preserve">Authentication</t>
  </si>
  <si>
    <t xml:space="preserve">Test requirement</t>
  </si>
  <si>
    <t xml:space="preserve">Kiem thu chuc nang dang ky, dang nhap, dang nhap SSO va quen/dat lai mat khau cua he thong UEMS.</t>
  </si>
  <si>
    <t xml:space="preserve">Number of TCs</t>
  </si>
  <si>
    <t xml:space="preserve">Testing Round</t>
  </si>
  <si>
    <t xml:space="preserve">Round 1</t>
  </si>
  <si>
    <t xml:space="preserve">Round 2</t>
  </si>
  <si>
    <t xml:space="preserve">Round 3</t>
  </si>
  <si>
    <t xml:space="preserve">Test Case ID</t>
  </si>
  <si>
    <t xml:space="preserve">Test Case Description</t>
  </si>
  <si>
    <t xml:space="preserve">Test Case Procedure</t>
  </si>
  <si>
    <t xml:space="preserve">Expected Results</t>
  </si>
  <si>
    <t xml:space="preserve">Pre-conditions</t>
  </si>
  <si>
    <t xml:space="preserve">Test date</t>
  </si>
  <si>
    <t xml:space="preserve">Tester</t>
  </si>
  <si>
    <t xml:space="preserve">Note</t>
  </si>
  <si>
    <t xml:space="preserve">Register</t>
  </si>
  <si>
    <t xml:space="preserve">AUTH-REG-01</t>
  </si>
  <si>
    <t xml:space="preserve">Dang ky tai khoan Guest hop le</t>
  </si>
  <si>
    <t xml:space="preserve">1. Mo trang Signup
2. Nhap ho ten, email, SDT, mat khau hop le
3. Nhan Dang ky</t>
  </si>
  <si>
    <t xml:space="preserve">Tao tai khoan thanh cong, gui email/OTP xac thuc, chuyen ve trang dang nhap</t>
  </si>
  <si>
    <t xml:space="preserve">NhanKX</t>
  </si>
  <si>
    <t xml:space="preserve">LinhNN</t>
  </si>
  <si>
    <t xml:space="preserve">AUTH-REG-02</t>
  </si>
  <si>
    <t xml:space="preserve">Dang ky voi email da ton tai</t>
  </si>
  <si>
    <t xml:space="preserve">1. Mo trang Signup
2. Nhap email da dang ky truoc do
3. Nhan Dang ky</t>
  </si>
  <si>
    <t xml:space="preserve">Hien thi loi "Email da duoc su dung", khong tao tai khoan</t>
  </si>
  <si>
    <t xml:space="preserve">Da co tai khoan email nay</t>
  </si>
  <si>
    <t xml:space="preserve">TuanDPH</t>
  </si>
  <si>
    <t xml:space="preserve">AUTH-REG-03</t>
  </si>
  <si>
    <t xml:space="preserve">Dang ky voi mat khau yeu / khong khop</t>
  </si>
  <si>
    <t xml:space="preserve">1. Nhap mat khau &lt; 8 ky tu hoac confirm khong khop
2. Nhan Dang ky</t>
  </si>
  <si>
    <t xml:space="preserve">Hien thi thong bao rang buoc mat khau, chan submit</t>
  </si>
  <si>
    <t xml:space="preserve">Login</t>
  </si>
  <si>
    <t xml:space="preserve">AUTH-LOG-01</t>
  </si>
  <si>
    <t xml:space="preserve">Dang nhap voi tai khoan hop le</t>
  </si>
  <si>
    <t xml:space="preserve">1. Mo trang Login
2. Nhap email + mat khau dung
3. Nhan Dang nhap</t>
  </si>
  <si>
    <t xml:space="preserve">Dang nhap thanh cong, tra ve JWT, chuyen ve trang chu theo role</t>
  </si>
  <si>
    <t xml:space="preserve">Tai khoan da active</t>
  </si>
  <si>
    <t xml:space="preserve">AUTH-LOG-02</t>
  </si>
  <si>
    <t xml:space="preserve">Dang nhap sai mat khau</t>
  </si>
  <si>
    <t xml:space="preserve">1. Nhap email dung, mat khau sai
2. Nhan Dang nhap</t>
  </si>
  <si>
    <t xml:space="preserve">Hien thi "Email hoac mat khau khong dung", khong cap token</t>
  </si>
  <si>
    <t xml:space="preserve">AUTH-LOG-03</t>
  </si>
  <si>
    <t xml:space="preserve">Dang nhap tai khoan bi khoa</t>
  </si>
  <si>
    <t xml:space="preserve">1. Nhap thong tin tai khoan da bi Admin khoa
2. Nhan Dang nhap</t>
  </si>
  <si>
    <t xml:space="preserve">Hien thi thong bao tai khoan bi khoa, tu choi dang nhap</t>
  </si>
  <si>
    <t xml:space="preserve">Tai khoan bi khoa</t>
  </si>
  <si>
    <t xml:space="preserve">AUTH-LOG-04</t>
  </si>
  <si>
    <t xml:space="preserve">Dang nhap SSO bang email truong (Google)</t>
  </si>
  <si>
    <t xml:space="preserve">1. Nhan "Dang nhap voi Google"
2. Chon tai khoan email @fpt.edu.vn</t>
  </si>
  <si>
    <t xml:space="preserve">Xac thuc Google thanh cong, tu dong tao/gan role Student, vao trang chu</t>
  </si>
  <si>
    <t xml:space="preserve">Forgot Password</t>
  </si>
  <si>
    <t xml:space="preserve">AUTH-FGP-01</t>
  </si>
  <si>
    <t xml:space="preserve">Gui yeu cau quen mat khau</t>
  </si>
  <si>
    <t xml:space="preserve">1. Mo Forgot Password
2. Nhap email hop le
3. Nhan Gui</t>
  </si>
  <si>
    <t xml:space="preserve">Gui email chua link/OTP dat lai mat khau</t>
  </si>
  <si>
    <t xml:space="preserve">Email ton tai</t>
  </si>
  <si>
    <t xml:space="preserve">AUTH-FGP-02</t>
  </si>
  <si>
    <t xml:space="preserve">Dat lai mat khau bang token het han</t>
  </si>
  <si>
    <t xml:space="preserve">1. Mo link reset da het han
2. Nhap mat khau moi</t>
  </si>
  <si>
    <t xml:space="preserve">Hien thi loi token khong hop le/het han</t>
  </si>
  <si>
    <t xml:space="preserve">Token da het han</t>
  </si>
  <si>
    <t xml:space="preserve">Event Management</t>
  </si>
  <si>
    <t xml:space="preserve">Kiem thu luong tao, de xuat, xet duyet (ICPDP), publish (CTSV) va tim kiem su kien.</t>
  </si>
  <si>
    <t xml:space="preserve">Create / Proposal (ClubOrganizer)</t>
  </si>
  <si>
    <t xml:space="preserve">EVT-CRT-01</t>
  </si>
  <si>
    <t xml:space="preserve">Tao de xuat su kien hop le</t>
  </si>
  <si>
    <t xml:space="preserve">1. Dang nhap ClubOrganizer
2. Mo Create Event
3. Nhap ten, mo ta, thoi gian, dia diem, cau hinh ve
4. Luu nhap</t>
  </si>
  <si>
    <t xml:space="preserve">Tao su kien trang thai Draft/Pending, hien thi trong danh sach cua CLB</t>
  </si>
  <si>
    <t xml:space="preserve">Login ClubOrganizer</t>
  </si>
  <si>
    <t xml:space="preserve">EVT-CRT-02</t>
  </si>
  <si>
    <t xml:space="preserve">Tao su kien trung khung gio dia diem</t>
  </si>
  <si>
    <t xml:space="preserve">1. Tao su kien tai dia diem/thoi gian da co su kien khac
2. Luu</t>
  </si>
  <si>
    <t xml:space="preserve">He thong canh bao xung dot lich (Schedule Conflict), chan luu</t>
  </si>
  <si>
    <t xml:space="preserve">Da co su kien tai khung gio do</t>
  </si>
  <si>
    <t xml:space="preserve">EVT-CRT-03</t>
  </si>
  <si>
    <t xml:space="preserve">Submit de xuat len ICPDP</t>
  </si>
  <si>
    <t xml:space="preserve">1. Mo su kien Draft
2. Nhan Submit to ICPDP</t>
  </si>
  <si>
    <t xml:space="preserve">Chuyen trang thai sang Pending Approval, gui thong bao ICPDP</t>
  </si>
  <si>
    <t xml:space="preserve">Su kien o trang thai Draft</t>
  </si>
  <si>
    <t xml:space="preserve">Approve (ICPDP)</t>
  </si>
  <si>
    <t xml:space="preserve">EVT-APR-01</t>
  </si>
  <si>
    <t xml:space="preserve">ICPDP phe duyet de xuat</t>
  </si>
  <si>
    <t xml:space="preserve">1. Dang nhap ICPDP
2. Mo de xuat Pending
3. Nhan Approve</t>
  </si>
  <si>
    <t xml:space="preserve">Su kien chuyen Approved, gui thong bao cho CLB</t>
  </si>
  <si>
    <t xml:space="preserve">Co de xuat Pending</t>
  </si>
  <si>
    <t xml:space="preserve">EVT-APR-02</t>
  </si>
  <si>
    <t xml:space="preserve">ICPDP tu choi kem ly do</t>
  </si>
  <si>
    <t xml:space="preserve">1. Mo de xuat Pending
2. Nhan Reject, nhap ly do</t>
  </si>
  <si>
    <t xml:space="preserve">Su kien chuyen Rejected, hien thi ly do cho CLB</t>
  </si>
  <si>
    <t xml:space="preserve">Publish (CTSV)</t>
  </si>
  <si>
    <t xml:space="preserve">EVT-PUB-01</t>
  </si>
  <si>
    <t xml:space="preserve">CTSV publish su kien da duyet</t>
  </si>
  <si>
    <t xml:space="preserve">1. Dang nhap CTSV
2. Mo su kien Approved
3. Nhan Publish</t>
  </si>
  <si>
    <t xml:space="preserve">Su kien hien thi cong khai tren trang chu cho toan bo sinh vien</t>
  </si>
  <si>
    <t xml:space="preserve">Su kien Approved</t>
  </si>
  <si>
    <t xml:space="preserve">EVT-PUB-02</t>
  </si>
  <si>
    <t xml:space="preserve">Xem chi tiet su kien cong khai (Guest)</t>
  </si>
  <si>
    <t xml:space="preserve">1. Mo trang chu
2. Chon 1 su kien da Publish</t>
  </si>
  <si>
    <t xml:space="preserve">Hien thi day du thong tin su kien, nut Dang ky/Mua ve</t>
  </si>
  <si>
    <t xml:space="preserve">Su kien da Publish</t>
  </si>
  <si>
    <t xml:space="preserve">EVT-PUB-03</t>
  </si>
  <si>
    <t xml:space="preserve">Tim kiem &amp; loc su kien</t>
  </si>
  <si>
    <t xml:space="preserve">1. Mo Events
2. Loc theo loai hinh (Workshop) va CLB</t>
  </si>
  <si>
    <t xml:space="preserve">Tra ve danh sach dung dieu kien loc</t>
  </si>
  <si>
    <t xml:space="preserve">Co du lieu su kien</t>
  </si>
  <si>
    <t xml:space="preserve">Registration &amp; Ticketing</t>
  </si>
  <si>
    <t xml:space="preserve">Kiem thu dang ky/huy tham gia, mua ve va thanh toan online cua sinh vien.</t>
  </si>
  <si>
    <t xml:space="preserve">Registration</t>
  </si>
  <si>
    <t xml:space="preserve">REG-RGS-01</t>
  </si>
  <si>
    <t xml:space="preserve">Sinh vien dang ky su kien mien phi</t>
  </si>
  <si>
    <t xml:space="preserve">1. Dang nhap Student
2. Mo su kien con slot
3. Nhan Dang ky</t>
  </si>
  <si>
    <t xml:space="preserve">Dang ky thanh cong, giam so slot, hien thi trong My Events</t>
  </si>
  <si>
    <t xml:space="preserve">Su kien con slot</t>
  </si>
  <si>
    <t xml:space="preserve">REG-RGS-02</t>
  </si>
  <si>
    <t xml:space="preserve">Dang ky su kien da het slot</t>
  </si>
  <si>
    <t xml:space="preserve">1. Mo su kien het slot
2. Nhan Dang ky</t>
  </si>
  <si>
    <t xml:space="preserve">Hien thi "Da het slot", chan dang ky</t>
  </si>
  <si>
    <t xml:space="preserve">Su kien full</t>
  </si>
  <si>
    <t xml:space="preserve">REG-RGS-03</t>
  </si>
  <si>
    <t xml:space="preserve">Dang ky su kien trung lich ca nhan</t>
  </si>
  <si>
    <t xml:space="preserve">1. Dang ky su kien trung khung gio voi su kien da tham gia</t>
  </si>
  <si>
    <t xml:space="preserve">He thong canh bao trung lich, chan/hoi xac nhan</t>
  </si>
  <si>
    <t xml:space="preserve">Da co su kien cung khung gio</t>
  </si>
  <si>
    <t xml:space="preserve">REG-RGS-04</t>
  </si>
  <si>
    <t xml:space="preserve">Huy dang ky su kien</t>
  </si>
  <si>
    <t xml:space="preserve">1. Mo My Events
2. Chon su kien
3. Nhan Huy dang ky</t>
  </si>
  <si>
    <t xml:space="preserve">Huy thanh cong, hoan tra slot</t>
  </si>
  <si>
    <t xml:space="preserve">Da dang ky su kien</t>
  </si>
  <si>
    <t xml:space="preserve">Ticketing &amp; Payment</t>
  </si>
  <si>
    <t xml:space="preserve">REG-PAY-01</t>
  </si>
  <si>
    <t xml:space="preserve">Mua ve su kien co phi thanh cong</t>
  </si>
  <si>
    <t xml:space="preserve">1. Mo su kien co phi
2. Chon loai ve, so luong
3. Thanh toan qua cong tich hop</t>
  </si>
  <si>
    <t xml:space="preserve">Thanh toan thanh cong, cap ve dinh danh kem QR, gui email xac nhan</t>
  </si>
  <si>
    <t xml:space="preserve">Login Student, con ve</t>
  </si>
  <si>
    <t xml:space="preserve">REG-PAY-02</t>
  </si>
  <si>
    <t xml:space="preserve">Thanh toan that bai / huy giao dich</t>
  </si>
  <si>
    <t xml:space="preserve">1. Mua ve
2. Huy tai cong thanh toan hoac the loi</t>
  </si>
  <si>
    <t xml:space="preserve">Giao dich that bai, khong cap ve, khong tru slot</t>
  </si>
  <si>
    <t xml:space="preserve">REG-PAY-03</t>
  </si>
  <si>
    <t xml:space="preserve">Xem lich su thanh toan</t>
  </si>
  <si>
    <t xml:space="preserve">1. Mo My Payments</t>
  </si>
  <si>
    <t xml:space="preserve">Hien thi danh sach giao dich va trang thai</t>
  </si>
  <si>
    <t xml:space="preserve">Da co giao dich</t>
  </si>
  <si>
    <t xml:space="preserve">Check-in &amp; QR</t>
  </si>
  <si>
    <t xml:space="preserve">Kiem thu tao ma QR diem danh, quet check-in tai su kien va thong ke ty le tham gia.</t>
  </si>
  <si>
    <t xml:space="preserve">Create QR (ClubOrganizer)</t>
  </si>
  <si>
    <t xml:space="preserve">CHK-QR-01</t>
  </si>
  <si>
    <t xml:space="preserve">Tao ma QR diem danh cho su kien</t>
  </si>
  <si>
    <t xml:space="preserve">1. Dang nhap ClubOrganizer
2. Mo su kien dang dien ra
3. Nhan Create QR</t>
  </si>
  <si>
    <t xml:space="preserve">Sinh ma QR diem danh, hien thi de nguoi tham gia quet</t>
  </si>
  <si>
    <t xml:space="preserve">Su kien Published, dang dien ra</t>
  </si>
  <si>
    <t xml:space="preserve">Check-in / Scan</t>
  </si>
  <si>
    <t xml:space="preserve">CHK-SCN-01</t>
  </si>
  <si>
    <t xml:space="preserve">Nguoi tham gia quet QR check-in hop le</t>
  </si>
  <si>
    <t xml:space="preserve">1. Mo QR Scan
2. Quet ma QR cua su kien</t>
  </si>
  <si>
    <t xml:space="preserve">Xac nhan check-in thanh cong, cap nhat trang thai tham gia</t>
  </si>
  <si>
    <t xml:space="preserve">Da co ve/dang ky hop le</t>
  </si>
  <si>
    <t xml:space="preserve">CHK-SCN-02</t>
  </si>
  <si>
    <t xml:space="preserve">Quet ma QR khong hop le / gia mao</t>
  </si>
  <si>
    <t xml:space="preserve">1. Quet ma QR sai hoac cua su kien khac</t>
  </si>
  <si>
    <t xml:space="preserve">Tu choi check-in, hien thi loi ma khong hop le</t>
  </si>
  <si>
    <t xml:space="preserve">CHK-SCN-03</t>
  </si>
  <si>
    <t xml:space="preserve">Check-in trung (da diem danh)</t>
  </si>
  <si>
    <t xml:space="preserve">1. Quet lai QR cua nguoi da check-in</t>
  </si>
  <si>
    <t xml:space="preserve">Bao "Da check-in truoc do", khong ghi trung</t>
  </si>
  <si>
    <t xml:space="preserve">Da check-in truoc do</t>
  </si>
  <si>
    <t xml:space="preserve">CHK-SCN-04</t>
  </si>
  <si>
    <t xml:space="preserve">Xem dashboard ty le check-in</t>
  </si>
  <si>
    <t xml:space="preserve">1. Mo dashboard su kien</t>
  </si>
  <si>
    <t xml:space="preserve">Hien thi so lieu dang ky va ty le check-in thuc te</t>
  </si>
  <si>
    <t xml:space="preserve">Co du lieu check-in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</si>
</sst>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yyyy\-mm\-dd\ h:mm:ss"/>
    <numFmt numFmtId="166" formatCode="d\-mmm\-yy;@"/>
    <numFmt numFmtId="167" formatCode="@"/>
    <numFmt numFmtId="168" formatCode="d\-mmm\-yy"/>
    <numFmt numFmtId="169" formatCode="0"/>
    <numFmt numFmtId="170" formatCode="0.00%"/>
    <numFmt numFmtId="171" formatCode="0%"/>
    <numFmt numFmtId="172" formatCode="0.00"/>
  </numFmts>
  <fonts count="25">
    <font>
      <sz val="11"/>
      <name val="ＭＳ Ｐゴシック"/>
      <family val="0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ＭＳ Ｐゴシック"/>
      <family val="2"/>
      <charset val="128"/>
    </font>
    <font>
      <sz val="11"/>
      <name val="ＭＳ Ｐゴシック"/>
      <family val="3"/>
      <charset val="128"/>
    </font>
    <font>
      <sz val="9"/>
      <name val="ＭＳ ゴシック"/>
      <family val="3"/>
      <charset val="128"/>
    </font>
    <font>
      <sz val="10"/>
      <name val="Tahoma"/>
      <family val="2"/>
      <charset val="1"/>
    </font>
    <font>
      <b val="true"/>
      <sz val="26"/>
      <color rgb="FFFF0000"/>
      <name val="Tahoma"/>
      <family val="2"/>
      <charset val="1"/>
    </font>
    <font>
      <b val="true"/>
      <sz val="20"/>
      <color rgb="FF000000"/>
      <name val="Tahoma"/>
      <family val="2"/>
      <charset val="1"/>
    </font>
    <font>
      <b val="true"/>
      <sz val="10"/>
      <color rgb="FF993300"/>
      <name val="Tahoma"/>
      <family val="2"/>
      <charset val="1"/>
    </font>
    <font>
      <i val="true"/>
      <sz val="10"/>
      <color rgb="FF008000"/>
      <name val="Tahoma"/>
      <family val="2"/>
      <charset val="1"/>
    </font>
    <font>
      <b val="true"/>
      <sz val="10"/>
      <name val="Tahoma"/>
      <family val="2"/>
      <charset val="1"/>
    </font>
    <font>
      <i val="true"/>
      <sz val="10"/>
      <name val="Tahoma"/>
      <family val="2"/>
      <charset val="1"/>
    </font>
    <font>
      <b val="true"/>
      <sz val="10"/>
      <color rgb="FFFFFFFF"/>
      <name val="Tahoma"/>
      <family val="2"/>
      <charset val="1"/>
    </font>
    <font>
      <sz val="10"/>
      <name val="Arial"/>
      <family val="2"/>
    </font>
    <font>
      <b val="true"/>
      <sz val="10"/>
      <color rgb="FF000000"/>
      <name val="Tahoma"/>
      <family val="2"/>
      <charset val="1"/>
    </font>
    <font>
      <b val="true"/>
      <sz val="10"/>
      <color rgb="FFFF0000"/>
      <name val="Tahoma"/>
      <family val="2"/>
      <charset val="1"/>
    </font>
    <font>
      <u val="single"/>
      <sz val="11"/>
      <color rgb="FF0000FF"/>
      <name val="ＭＳ Ｐゴシック"/>
      <family val="3"/>
      <charset val="128"/>
    </font>
    <font>
      <u val="single"/>
      <sz val="10"/>
      <color rgb="FF0000FF"/>
      <name val="Tahoma"/>
      <family val="2"/>
      <charset val="1"/>
    </font>
    <font>
      <sz val="10"/>
      <color rgb="FFFFFFFF"/>
      <name val="Tahoma"/>
      <family val="2"/>
      <charset val="1"/>
    </font>
    <font>
      <b val="true"/>
      <sz val="10"/>
      <color rgb="FF0000FF"/>
      <name val="Tahoma"/>
      <family val="2"/>
      <charset val="1"/>
    </font>
    <font>
      <sz val="10"/>
      <color rgb="FF000000"/>
      <name val="Tahoma"/>
      <family val="2"/>
      <charset val="1"/>
    </font>
    <font>
      <sz val="10"/>
      <color rgb="FFFF0000"/>
      <name val="Tahoma"/>
      <family val="2"/>
      <charset val="1"/>
    </font>
    <font>
      <b val="true"/>
      <i val="true"/>
      <sz val="10"/>
      <name val="Tahoma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003366"/>
      </patternFill>
    </fill>
    <fill>
      <patternFill patternType="solid">
        <fgColor theme="6" tint="-0.25"/>
        <bgColor rgb="FF808080"/>
      </patternFill>
    </fill>
  </fills>
  <borders count="2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hair"/>
      <top style="thin"/>
      <bottom style="hair"/>
      <diagonal/>
    </border>
    <border diagonalUp="false" diagonalDown="false">
      <left style="hair"/>
      <right style="hair"/>
      <top style="thin"/>
      <bottom style="hair"/>
      <diagonal/>
    </border>
    <border diagonalUp="false" diagonalDown="false">
      <left style="hair"/>
      <right style="thin"/>
      <top style="thin"/>
      <bottom style="hair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thin"/>
      <right style="hair"/>
      <top style="hair"/>
      <bottom style="thin"/>
      <diagonal/>
    </border>
    <border diagonalUp="false" diagonalDown="false">
      <left style="hair"/>
      <right style="hair"/>
      <top style="hair"/>
      <bottom style="thin"/>
      <diagonal/>
    </border>
    <border diagonalUp="false" diagonalDown="false">
      <left style="hair"/>
      <right style="thin"/>
      <top style="hair"/>
      <bottom style="thin"/>
      <diagonal/>
    </border>
    <border diagonalUp="false" diagonalDown="false">
      <left style="hair"/>
      <right/>
      <top style="thin"/>
      <bottom style="hair"/>
      <diagonal/>
    </border>
    <border diagonalUp="false" diagonalDown="false">
      <left/>
      <right style="medium"/>
      <top/>
      <bottom/>
      <diagonal/>
    </border>
    <border diagonalUp="false" diagonalDown="false">
      <left/>
      <right style="hair"/>
      <top style="thin"/>
      <bottom style="hair"/>
      <diagonal/>
    </border>
    <border diagonalUp="false" diagonalDown="false">
      <left style="hair"/>
      <right style="medium"/>
      <top style="thin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 style="medium"/>
      <top style="hair"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 style="hair"/>
      <top style="hair"/>
      <bottom style="thin"/>
      <diagonal/>
    </border>
    <border diagonalUp="false" diagonalDown="false">
      <left style="hair"/>
      <right style="medium"/>
      <top style="hair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3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5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14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3" fillId="0" borderId="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7" fillId="0" borderId="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0" borderId="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1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7" fillId="0" borderId="1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true"/>
    </xf>
    <xf numFmtId="164" fontId="9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1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9" fontId="10" fillId="2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7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4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2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7" fillId="2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2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2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2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7" fillId="2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2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2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3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3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3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3" borderId="1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3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3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3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3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21" fillId="2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22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2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2" borderId="2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23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2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4" fillId="2" borderId="2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4" fillId="2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4" fillId="2" borderId="2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3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2" borderId="2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4" fillId="2" borderId="2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2" borderId="27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2" borderId="2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2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2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Functional Test Case v1.0" xfId="20"/>
    <cellStyle name="Normal_Sheet1" xfId="21"/>
    <cellStyle name="Normal_Template_UnitTest Case_v0.9" xfId="22"/>
    <cellStyle name="標準_結合試験(AllOvertheWorld)" xfId="2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7933C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88920</xdr:rowOff>
    </xdr:from>
    <xdr:to>
      <xdr:col>0</xdr:col>
      <xdr:colOff>2133000</xdr:colOff>
      <xdr:row>1</xdr:row>
      <xdr:rowOff>786600</xdr:rowOff>
    </xdr:to>
    <xdr:pic>
      <xdr:nvPicPr>
        <xdr:cNvPr id="1" name="Picture 1"/>
        <xdr:cNvPicPr/>
      </xdr:nvPicPr>
      <xdr:blipFill>
        <a:blip r:embed="rId1"/>
        <a:stretch/>
      </xdr:blipFill>
      <xdr:spPr>
        <a:xfrm>
          <a:off x="0" y="250920"/>
          <a:ext cx="2133000" cy="6976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4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5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0" activeCellId="0" sqref="E10"/>
    </sheetView>
  </sheetViews>
  <sheetFormatPr defaultColWidth="9" defaultRowHeight="12.75" customHeight="false" zeroHeight="false" outlineLevelRow="0" outlineLevelCol="0"/>
  <cols>
    <col collapsed="false" customWidth="true" hidden="false" outlineLevel="0" max="1" min="1" style="1" width="28.11"/>
    <col collapsed="false" customWidth="true" hidden="false" outlineLevel="0" max="2" min="2" style="2" width="10"/>
    <col collapsed="false" customWidth="true" hidden="false" outlineLevel="0" max="3" min="3" style="2" width="14.33"/>
    <col collapsed="false" customWidth="true" hidden="false" outlineLevel="0" max="4" min="4" style="2" width="8"/>
    <col collapsed="false" customWidth="true" hidden="false" outlineLevel="0" max="5" min="5" style="2" width="38"/>
    <col collapsed="false" customWidth="true" hidden="false" outlineLevel="0" max="6" min="6" style="2" width="48.11"/>
    <col collapsed="false" customWidth="false" hidden="false" outlineLevel="0" max="256" min="7" style="2" width="9"/>
    <col collapsed="false" customWidth="true" hidden="false" outlineLevel="0" max="257" min="257" style="2" width="28.11"/>
    <col collapsed="false" customWidth="true" hidden="false" outlineLevel="0" max="258" min="258" style="2" width="10"/>
    <col collapsed="false" customWidth="true" hidden="false" outlineLevel="0" max="259" min="259" style="2" width="14.33"/>
    <col collapsed="false" customWidth="true" hidden="false" outlineLevel="0" max="260" min="260" style="2" width="8"/>
    <col collapsed="false" customWidth="true" hidden="false" outlineLevel="0" max="261" min="261" style="2" width="38"/>
    <col collapsed="false" customWidth="true" hidden="false" outlineLevel="0" max="262" min="262" style="2" width="48.11"/>
    <col collapsed="false" customWidth="false" hidden="false" outlineLevel="0" max="512" min="263" style="2" width="9"/>
    <col collapsed="false" customWidth="true" hidden="false" outlineLevel="0" max="513" min="513" style="2" width="28.11"/>
    <col collapsed="false" customWidth="true" hidden="false" outlineLevel="0" max="514" min="514" style="2" width="10"/>
    <col collapsed="false" customWidth="true" hidden="false" outlineLevel="0" max="515" min="515" style="2" width="14.33"/>
    <col collapsed="false" customWidth="true" hidden="false" outlineLevel="0" max="516" min="516" style="2" width="8"/>
    <col collapsed="false" customWidth="true" hidden="false" outlineLevel="0" max="517" min="517" style="2" width="38"/>
    <col collapsed="false" customWidth="true" hidden="false" outlineLevel="0" max="518" min="518" style="2" width="48.11"/>
    <col collapsed="false" customWidth="false" hidden="false" outlineLevel="0" max="768" min="519" style="2" width="9"/>
    <col collapsed="false" customWidth="true" hidden="false" outlineLevel="0" max="769" min="769" style="2" width="28.11"/>
    <col collapsed="false" customWidth="true" hidden="false" outlineLevel="0" max="770" min="770" style="2" width="10"/>
    <col collapsed="false" customWidth="true" hidden="false" outlineLevel="0" max="771" min="771" style="2" width="14.33"/>
    <col collapsed="false" customWidth="true" hidden="false" outlineLevel="0" max="772" min="772" style="2" width="8"/>
    <col collapsed="false" customWidth="true" hidden="false" outlineLevel="0" max="773" min="773" style="2" width="38"/>
    <col collapsed="false" customWidth="true" hidden="false" outlineLevel="0" max="774" min="774" style="2" width="48.11"/>
    <col collapsed="false" customWidth="false" hidden="false" outlineLevel="0" max="1024" min="775" style="2" width="9"/>
    <col collapsed="false" customWidth="true" hidden="false" outlineLevel="0" max="1025" min="1025" style="2" width="28.11"/>
    <col collapsed="false" customWidth="true" hidden="false" outlineLevel="0" max="1026" min="1026" style="2" width="10"/>
    <col collapsed="false" customWidth="true" hidden="false" outlineLevel="0" max="1027" min="1027" style="2" width="14.33"/>
    <col collapsed="false" customWidth="true" hidden="false" outlineLevel="0" max="1028" min="1028" style="2" width="8"/>
    <col collapsed="false" customWidth="true" hidden="false" outlineLevel="0" max="1029" min="1029" style="2" width="38"/>
    <col collapsed="false" customWidth="true" hidden="false" outlineLevel="0" max="1030" min="1030" style="2" width="48.11"/>
    <col collapsed="false" customWidth="false" hidden="false" outlineLevel="0" max="1280" min="1031" style="2" width="9"/>
    <col collapsed="false" customWidth="true" hidden="false" outlineLevel="0" max="1281" min="1281" style="2" width="28.11"/>
    <col collapsed="false" customWidth="true" hidden="false" outlineLevel="0" max="1282" min="1282" style="2" width="10"/>
    <col collapsed="false" customWidth="true" hidden="false" outlineLevel="0" max="1283" min="1283" style="2" width="14.33"/>
    <col collapsed="false" customWidth="true" hidden="false" outlineLevel="0" max="1284" min="1284" style="2" width="8"/>
    <col collapsed="false" customWidth="true" hidden="false" outlineLevel="0" max="1285" min="1285" style="2" width="38"/>
    <col collapsed="false" customWidth="true" hidden="false" outlineLevel="0" max="1286" min="1286" style="2" width="48.11"/>
    <col collapsed="false" customWidth="false" hidden="false" outlineLevel="0" max="1536" min="1287" style="2" width="9"/>
    <col collapsed="false" customWidth="true" hidden="false" outlineLevel="0" max="1537" min="1537" style="2" width="28.11"/>
    <col collapsed="false" customWidth="true" hidden="false" outlineLevel="0" max="1538" min="1538" style="2" width="10"/>
    <col collapsed="false" customWidth="true" hidden="false" outlineLevel="0" max="1539" min="1539" style="2" width="14.33"/>
    <col collapsed="false" customWidth="true" hidden="false" outlineLevel="0" max="1540" min="1540" style="2" width="8"/>
    <col collapsed="false" customWidth="true" hidden="false" outlineLevel="0" max="1541" min="1541" style="2" width="38"/>
    <col collapsed="false" customWidth="true" hidden="false" outlineLevel="0" max="1542" min="1542" style="2" width="48.11"/>
    <col collapsed="false" customWidth="false" hidden="false" outlineLevel="0" max="1792" min="1543" style="2" width="9"/>
    <col collapsed="false" customWidth="true" hidden="false" outlineLevel="0" max="1793" min="1793" style="2" width="28.11"/>
    <col collapsed="false" customWidth="true" hidden="false" outlineLevel="0" max="1794" min="1794" style="2" width="10"/>
    <col collapsed="false" customWidth="true" hidden="false" outlineLevel="0" max="1795" min="1795" style="2" width="14.33"/>
    <col collapsed="false" customWidth="true" hidden="false" outlineLevel="0" max="1796" min="1796" style="2" width="8"/>
    <col collapsed="false" customWidth="true" hidden="false" outlineLevel="0" max="1797" min="1797" style="2" width="38"/>
    <col collapsed="false" customWidth="true" hidden="false" outlineLevel="0" max="1798" min="1798" style="2" width="48.11"/>
    <col collapsed="false" customWidth="false" hidden="false" outlineLevel="0" max="2048" min="1799" style="2" width="9"/>
    <col collapsed="false" customWidth="true" hidden="false" outlineLevel="0" max="2049" min="2049" style="2" width="28.11"/>
    <col collapsed="false" customWidth="true" hidden="false" outlineLevel="0" max="2050" min="2050" style="2" width="10"/>
    <col collapsed="false" customWidth="true" hidden="false" outlineLevel="0" max="2051" min="2051" style="2" width="14.33"/>
    <col collapsed="false" customWidth="true" hidden="false" outlineLevel="0" max="2052" min="2052" style="2" width="8"/>
    <col collapsed="false" customWidth="true" hidden="false" outlineLevel="0" max="2053" min="2053" style="2" width="38"/>
    <col collapsed="false" customWidth="true" hidden="false" outlineLevel="0" max="2054" min="2054" style="2" width="48.11"/>
    <col collapsed="false" customWidth="false" hidden="false" outlineLevel="0" max="2304" min="2055" style="2" width="9"/>
    <col collapsed="false" customWidth="true" hidden="false" outlineLevel="0" max="2305" min="2305" style="2" width="28.11"/>
    <col collapsed="false" customWidth="true" hidden="false" outlineLevel="0" max="2306" min="2306" style="2" width="10"/>
    <col collapsed="false" customWidth="true" hidden="false" outlineLevel="0" max="2307" min="2307" style="2" width="14.33"/>
    <col collapsed="false" customWidth="true" hidden="false" outlineLevel="0" max="2308" min="2308" style="2" width="8"/>
    <col collapsed="false" customWidth="true" hidden="false" outlineLevel="0" max="2309" min="2309" style="2" width="38"/>
    <col collapsed="false" customWidth="true" hidden="false" outlineLevel="0" max="2310" min="2310" style="2" width="48.11"/>
    <col collapsed="false" customWidth="false" hidden="false" outlineLevel="0" max="2560" min="2311" style="2" width="9"/>
    <col collapsed="false" customWidth="true" hidden="false" outlineLevel="0" max="2561" min="2561" style="2" width="28.11"/>
    <col collapsed="false" customWidth="true" hidden="false" outlineLevel="0" max="2562" min="2562" style="2" width="10"/>
    <col collapsed="false" customWidth="true" hidden="false" outlineLevel="0" max="2563" min="2563" style="2" width="14.33"/>
    <col collapsed="false" customWidth="true" hidden="false" outlineLevel="0" max="2564" min="2564" style="2" width="8"/>
    <col collapsed="false" customWidth="true" hidden="false" outlineLevel="0" max="2565" min="2565" style="2" width="38"/>
    <col collapsed="false" customWidth="true" hidden="false" outlineLevel="0" max="2566" min="2566" style="2" width="48.11"/>
    <col collapsed="false" customWidth="false" hidden="false" outlineLevel="0" max="2816" min="2567" style="2" width="9"/>
    <col collapsed="false" customWidth="true" hidden="false" outlineLevel="0" max="2817" min="2817" style="2" width="28.11"/>
    <col collapsed="false" customWidth="true" hidden="false" outlineLevel="0" max="2818" min="2818" style="2" width="10"/>
    <col collapsed="false" customWidth="true" hidden="false" outlineLevel="0" max="2819" min="2819" style="2" width="14.33"/>
    <col collapsed="false" customWidth="true" hidden="false" outlineLevel="0" max="2820" min="2820" style="2" width="8"/>
    <col collapsed="false" customWidth="true" hidden="false" outlineLevel="0" max="2821" min="2821" style="2" width="38"/>
    <col collapsed="false" customWidth="true" hidden="false" outlineLevel="0" max="2822" min="2822" style="2" width="48.11"/>
    <col collapsed="false" customWidth="false" hidden="false" outlineLevel="0" max="3072" min="2823" style="2" width="9"/>
    <col collapsed="false" customWidth="true" hidden="false" outlineLevel="0" max="3073" min="3073" style="2" width="28.11"/>
    <col collapsed="false" customWidth="true" hidden="false" outlineLevel="0" max="3074" min="3074" style="2" width="10"/>
    <col collapsed="false" customWidth="true" hidden="false" outlineLevel="0" max="3075" min="3075" style="2" width="14.33"/>
    <col collapsed="false" customWidth="true" hidden="false" outlineLevel="0" max="3076" min="3076" style="2" width="8"/>
    <col collapsed="false" customWidth="true" hidden="false" outlineLevel="0" max="3077" min="3077" style="2" width="38"/>
    <col collapsed="false" customWidth="true" hidden="false" outlineLevel="0" max="3078" min="3078" style="2" width="48.11"/>
    <col collapsed="false" customWidth="false" hidden="false" outlineLevel="0" max="3328" min="3079" style="2" width="9"/>
    <col collapsed="false" customWidth="true" hidden="false" outlineLevel="0" max="3329" min="3329" style="2" width="28.11"/>
    <col collapsed="false" customWidth="true" hidden="false" outlineLevel="0" max="3330" min="3330" style="2" width="10"/>
    <col collapsed="false" customWidth="true" hidden="false" outlineLevel="0" max="3331" min="3331" style="2" width="14.33"/>
    <col collapsed="false" customWidth="true" hidden="false" outlineLevel="0" max="3332" min="3332" style="2" width="8"/>
    <col collapsed="false" customWidth="true" hidden="false" outlineLevel="0" max="3333" min="3333" style="2" width="38"/>
    <col collapsed="false" customWidth="true" hidden="false" outlineLevel="0" max="3334" min="3334" style="2" width="48.11"/>
    <col collapsed="false" customWidth="false" hidden="false" outlineLevel="0" max="3584" min="3335" style="2" width="9"/>
    <col collapsed="false" customWidth="true" hidden="false" outlineLevel="0" max="3585" min="3585" style="2" width="28.11"/>
    <col collapsed="false" customWidth="true" hidden="false" outlineLevel="0" max="3586" min="3586" style="2" width="10"/>
    <col collapsed="false" customWidth="true" hidden="false" outlineLevel="0" max="3587" min="3587" style="2" width="14.33"/>
    <col collapsed="false" customWidth="true" hidden="false" outlineLevel="0" max="3588" min="3588" style="2" width="8"/>
    <col collapsed="false" customWidth="true" hidden="false" outlineLevel="0" max="3589" min="3589" style="2" width="38"/>
    <col collapsed="false" customWidth="true" hidden="false" outlineLevel="0" max="3590" min="3590" style="2" width="48.11"/>
    <col collapsed="false" customWidth="false" hidden="false" outlineLevel="0" max="3840" min="3591" style="2" width="9"/>
    <col collapsed="false" customWidth="true" hidden="false" outlineLevel="0" max="3841" min="3841" style="2" width="28.11"/>
    <col collapsed="false" customWidth="true" hidden="false" outlineLevel="0" max="3842" min="3842" style="2" width="10"/>
    <col collapsed="false" customWidth="true" hidden="false" outlineLevel="0" max="3843" min="3843" style="2" width="14.33"/>
    <col collapsed="false" customWidth="true" hidden="false" outlineLevel="0" max="3844" min="3844" style="2" width="8"/>
    <col collapsed="false" customWidth="true" hidden="false" outlineLevel="0" max="3845" min="3845" style="2" width="38"/>
    <col collapsed="false" customWidth="true" hidden="false" outlineLevel="0" max="3846" min="3846" style="2" width="48.11"/>
    <col collapsed="false" customWidth="false" hidden="false" outlineLevel="0" max="4096" min="3847" style="2" width="9"/>
    <col collapsed="false" customWidth="true" hidden="false" outlineLevel="0" max="4097" min="4097" style="2" width="28.11"/>
    <col collapsed="false" customWidth="true" hidden="false" outlineLevel="0" max="4098" min="4098" style="2" width="10"/>
    <col collapsed="false" customWidth="true" hidden="false" outlineLevel="0" max="4099" min="4099" style="2" width="14.33"/>
    <col collapsed="false" customWidth="true" hidden="false" outlineLevel="0" max="4100" min="4100" style="2" width="8"/>
    <col collapsed="false" customWidth="true" hidden="false" outlineLevel="0" max="4101" min="4101" style="2" width="38"/>
    <col collapsed="false" customWidth="true" hidden="false" outlineLevel="0" max="4102" min="4102" style="2" width="48.11"/>
    <col collapsed="false" customWidth="false" hidden="false" outlineLevel="0" max="4352" min="4103" style="2" width="9"/>
    <col collapsed="false" customWidth="true" hidden="false" outlineLevel="0" max="4353" min="4353" style="2" width="28.11"/>
    <col collapsed="false" customWidth="true" hidden="false" outlineLevel="0" max="4354" min="4354" style="2" width="10"/>
    <col collapsed="false" customWidth="true" hidden="false" outlineLevel="0" max="4355" min="4355" style="2" width="14.33"/>
    <col collapsed="false" customWidth="true" hidden="false" outlineLevel="0" max="4356" min="4356" style="2" width="8"/>
    <col collapsed="false" customWidth="true" hidden="false" outlineLevel="0" max="4357" min="4357" style="2" width="38"/>
    <col collapsed="false" customWidth="true" hidden="false" outlineLevel="0" max="4358" min="4358" style="2" width="48.11"/>
    <col collapsed="false" customWidth="false" hidden="false" outlineLevel="0" max="4608" min="4359" style="2" width="9"/>
    <col collapsed="false" customWidth="true" hidden="false" outlineLevel="0" max="4609" min="4609" style="2" width="28.11"/>
    <col collapsed="false" customWidth="true" hidden="false" outlineLevel="0" max="4610" min="4610" style="2" width="10"/>
    <col collapsed="false" customWidth="true" hidden="false" outlineLevel="0" max="4611" min="4611" style="2" width="14.33"/>
    <col collapsed="false" customWidth="true" hidden="false" outlineLevel="0" max="4612" min="4612" style="2" width="8"/>
    <col collapsed="false" customWidth="true" hidden="false" outlineLevel="0" max="4613" min="4613" style="2" width="38"/>
    <col collapsed="false" customWidth="true" hidden="false" outlineLevel="0" max="4614" min="4614" style="2" width="48.11"/>
    <col collapsed="false" customWidth="false" hidden="false" outlineLevel="0" max="4864" min="4615" style="2" width="9"/>
    <col collapsed="false" customWidth="true" hidden="false" outlineLevel="0" max="4865" min="4865" style="2" width="28.11"/>
    <col collapsed="false" customWidth="true" hidden="false" outlineLevel="0" max="4866" min="4866" style="2" width="10"/>
    <col collapsed="false" customWidth="true" hidden="false" outlineLevel="0" max="4867" min="4867" style="2" width="14.33"/>
    <col collapsed="false" customWidth="true" hidden="false" outlineLevel="0" max="4868" min="4868" style="2" width="8"/>
    <col collapsed="false" customWidth="true" hidden="false" outlineLevel="0" max="4869" min="4869" style="2" width="38"/>
    <col collapsed="false" customWidth="true" hidden="false" outlineLevel="0" max="4870" min="4870" style="2" width="48.11"/>
    <col collapsed="false" customWidth="false" hidden="false" outlineLevel="0" max="5120" min="4871" style="2" width="9"/>
    <col collapsed="false" customWidth="true" hidden="false" outlineLevel="0" max="5121" min="5121" style="2" width="28.11"/>
    <col collapsed="false" customWidth="true" hidden="false" outlineLevel="0" max="5122" min="5122" style="2" width="10"/>
    <col collapsed="false" customWidth="true" hidden="false" outlineLevel="0" max="5123" min="5123" style="2" width="14.33"/>
    <col collapsed="false" customWidth="true" hidden="false" outlineLevel="0" max="5124" min="5124" style="2" width="8"/>
    <col collapsed="false" customWidth="true" hidden="false" outlineLevel="0" max="5125" min="5125" style="2" width="38"/>
    <col collapsed="false" customWidth="true" hidden="false" outlineLevel="0" max="5126" min="5126" style="2" width="48.11"/>
    <col collapsed="false" customWidth="false" hidden="false" outlineLevel="0" max="5376" min="5127" style="2" width="9"/>
    <col collapsed="false" customWidth="true" hidden="false" outlineLevel="0" max="5377" min="5377" style="2" width="28.11"/>
    <col collapsed="false" customWidth="true" hidden="false" outlineLevel="0" max="5378" min="5378" style="2" width="10"/>
    <col collapsed="false" customWidth="true" hidden="false" outlineLevel="0" max="5379" min="5379" style="2" width="14.33"/>
    <col collapsed="false" customWidth="true" hidden="false" outlineLevel="0" max="5380" min="5380" style="2" width="8"/>
    <col collapsed="false" customWidth="true" hidden="false" outlineLevel="0" max="5381" min="5381" style="2" width="38"/>
    <col collapsed="false" customWidth="true" hidden="false" outlineLevel="0" max="5382" min="5382" style="2" width="48.11"/>
    <col collapsed="false" customWidth="false" hidden="false" outlineLevel="0" max="5632" min="5383" style="2" width="9"/>
    <col collapsed="false" customWidth="true" hidden="false" outlineLevel="0" max="5633" min="5633" style="2" width="28.11"/>
    <col collapsed="false" customWidth="true" hidden="false" outlineLevel="0" max="5634" min="5634" style="2" width="10"/>
    <col collapsed="false" customWidth="true" hidden="false" outlineLevel="0" max="5635" min="5635" style="2" width="14.33"/>
    <col collapsed="false" customWidth="true" hidden="false" outlineLevel="0" max="5636" min="5636" style="2" width="8"/>
    <col collapsed="false" customWidth="true" hidden="false" outlineLevel="0" max="5637" min="5637" style="2" width="38"/>
    <col collapsed="false" customWidth="true" hidden="false" outlineLevel="0" max="5638" min="5638" style="2" width="48.11"/>
    <col collapsed="false" customWidth="false" hidden="false" outlineLevel="0" max="5888" min="5639" style="2" width="9"/>
    <col collapsed="false" customWidth="true" hidden="false" outlineLevel="0" max="5889" min="5889" style="2" width="28.11"/>
    <col collapsed="false" customWidth="true" hidden="false" outlineLevel="0" max="5890" min="5890" style="2" width="10"/>
    <col collapsed="false" customWidth="true" hidden="false" outlineLevel="0" max="5891" min="5891" style="2" width="14.33"/>
    <col collapsed="false" customWidth="true" hidden="false" outlineLevel="0" max="5892" min="5892" style="2" width="8"/>
    <col collapsed="false" customWidth="true" hidden="false" outlineLevel="0" max="5893" min="5893" style="2" width="38"/>
    <col collapsed="false" customWidth="true" hidden="false" outlineLevel="0" max="5894" min="5894" style="2" width="48.11"/>
    <col collapsed="false" customWidth="false" hidden="false" outlineLevel="0" max="6144" min="5895" style="2" width="9"/>
    <col collapsed="false" customWidth="true" hidden="false" outlineLevel="0" max="6145" min="6145" style="2" width="28.11"/>
    <col collapsed="false" customWidth="true" hidden="false" outlineLevel="0" max="6146" min="6146" style="2" width="10"/>
    <col collapsed="false" customWidth="true" hidden="false" outlineLevel="0" max="6147" min="6147" style="2" width="14.33"/>
    <col collapsed="false" customWidth="true" hidden="false" outlineLevel="0" max="6148" min="6148" style="2" width="8"/>
    <col collapsed="false" customWidth="true" hidden="false" outlineLevel="0" max="6149" min="6149" style="2" width="38"/>
    <col collapsed="false" customWidth="true" hidden="false" outlineLevel="0" max="6150" min="6150" style="2" width="48.11"/>
    <col collapsed="false" customWidth="false" hidden="false" outlineLevel="0" max="6400" min="6151" style="2" width="9"/>
    <col collapsed="false" customWidth="true" hidden="false" outlineLevel="0" max="6401" min="6401" style="2" width="28.11"/>
    <col collapsed="false" customWidth="true" hidden="false" outlineLevel="0" max="6402" min="6402" style="2" width="10"/>
    <col collapsed="false" customWidth="true" hidden="false" outlineLevel="0" max="6403" min="6403" style="2" width="14.33"/>
    <col collapsed="false" customWidth="true" hidden="false" outlineLevel="0" max="6404" min="6404" style="2" width="8"/>
    <col collapsed="false" customWidth="true" hidden="false" outlineLevel="0" max="6405" min="6405" style="2" width="38"/>
    <col collapsed="false" customWidth="true" hidden="false" outlineLevel="0" max="6406" min="6406" style="2" width="48.11"/>
    <col collapsed="false" customWidth="false" hidden="false" outlineLevel="0" max="6656" min="6407" style="2" width="9"/>
    <col collapsed="false" customWidth="true" hidden="false" outlineLevel="0" max="6657" min="6657" style="2" width="28.11"/>
    <col collapsed="false" customWidth="true" hidden="false" outlineLevel="0" max="6658" min="6658" style="2" width="10"/>
    <col collapsed="false" customWidth="true" hidden="false" outlineLevel="0" max="6659" min="6659" style="2" width="14.33"/>
    <col collapsed="false" customWidth="true" hidden="false" outlineLevel="0" max="6660" min="6660" style="2" width="8"/>
    <col collapsed="false" customWidth="true" hidden="false" outlineLevel="0" max="6661" min="6661" style="2" width="38"/>
    <col collapsed="false" customWidth="true" hidden="false" outlineLevel="0" max="6662" min="6662" style="2" width="48.11"/>
    <col collapsed="false" customWidth="false" hidden="false" outlineLevel="0" max="6912" min="6663" style="2" width="9"/>
    <col collapsed="false" customWidth="true" hidden="false" outlineLevel="0" max="6913" min="6913" style="2" width="28.11"/>
    <col collapsed="false" customWidth="true" hidden="false" outlineLevel="0" max="6914" min="6914" style="2" width="10"/>
    <col collapsed="false" customWidth="true" hidden="false" outlineLevel="0" max="6915" min="6915" style="2" width="14.33"/>
    <col collapsed="false" customWidth="true" hidden="false" outlineLevel="0" max="6916" min="6916" style="2" width="8"/>
    <col collapsed="false" customWidth="true" hidden="false" outlineLevel="0" max="6917" min="6917" style="2" width="38"/>
    <col collapsed="false" customWidth="true" hidden="false" outlineLevel="0" max="6918" min="6918" style="2" width="48.11"/>
    <col collapsed="false" customWidth="false" hidden="false" outlineLevel="0" max="7168" min="6919" style="2" width="9"/>
    <col collapsed="false" customWidth="true" hidden="false" outlineLevel="0" max="7169" min="7169" style="2" width="28.11"/>
    <col collapsed="false" customWidth="true" hidden="false" outlineLevel="0" max="7170" min="7170" style="2" width="10"/>
    <col collapsed="false" customWidth="true" hidden="false" outlineLevel="0" max="7171" min="7171" style="2" width="14.33"/>
    <col collapsed="false" customWidth="true" hidden="false" outlineLevel="0" max="7172" min="7172" style="2" width="8"/>
    <col collapsed="false" customWidth="true" hidden="false" outlineLevel="0" max="7173" min="7173" style="2" width="38"/>
    <col collapsed="false" customWidth="true" hidden="false" outlineLevel="0" max="7174" min="7174" style="2" width="48.11"/>
    <col collapsed="false" customWidth="false" hidden="false" outlineLevel="0" max="7424" min="7175" style="2" width="9"/>
    <col collapsed="false" customWidth="true" hidden="false" outlineLevel="0" max="7425" min="7425" style="2" width="28.11"/>
    <col collapsed="false" customWidth="true" hidden="false" outlineLevel="0" max="7426" min="7426" style="2" width="10"/>
    <col collapsed="false" customWidth="true" hidden="false" outlineLevel="0" max="7427" min="7427" style="2" width="14.33"/>
    <col collapsed="false" customWidth="true" hidden="false" outlineLevel="0" max="7428" min="7428" style="2" width="8"/>
    <col collapsed="false" customWidth="true" hidden="false" outlineLevel="0" max="7429" min="7429" style="2" width="38"/>
    <col collapsed="false" customWidth="true" hidden="false" outlineLevel="0" max="7430" min="7430" style="2" width="48.11"/>
    <col collapsed="false" customWidth="false" hidden="false" outlineLevel="0" max="7680" min="7431" style="2" width="9"/>
    <col collapsed="false" customWidth="true" hidden="false" outlineLevel="0" max="7681" min="7681" style="2" width="28.11"/>
    <col collapsed="false" customWidth="true" hidden="false" outlineLevel="0" max="7682" min="7682" style="2" width="10"/>
    <col collapsed="false" customWidth="true" hidden="false" outlineLevel="0" max="7683" min="7683" style="2" width="14.33"/>
    <col collapsed="false" customWidth="true" hidden="false" outlineLevel="0" max="7684" min="7684" style="2" width="8"/>
    <col collapsed="false" customWidth="true" hidden="false" outlineLevel="0" max="7685" min="7685" style="2" width="38"/>
    <col collapsed="false" customWidth="true" hidden="false" outlineLevel="0" max="7686" min="7686" style="2" width="48.11"/>
    <col collapsed="false" customWidth="false" hidden="false" outlineLevel="0" max="7936" min="7687" style="2" width="9"/>
    <col collapsed="false" customWidth="true" hidden="false" outlineLevel="0" max="7937" min="7937" style="2" width="28.11"/>
    <col collapsed="false" customWidth="true" hidden="false" outlineLevel="0" max="7938" min="7938" style="2" width="10"/>
    <col collapsed="false" customWidth="true" hidden="false" outlineLevel="0" max="7939" min="7939" style="2" width="14.33"/>
    <col collapsed="false" customWidth="true" hidden="false" outlineLevel="0" max="7940" min="7940" style="2" width="8"/>
    <col collapsed="false" customWidth="true" hidden="false" outlineLevel="0" max="7941" min="7941" style="2" width="38"/>
    <col collapsed="false" customWidth="true" hidden="false" outlineLevel="0" max="7942" min="7942" style="2" width="48.11"/>
    <col collapsed="false" customWidth="false" hidden="false" outlineLevel="0" max="8192" min="7943" style="2" width="9"/>
    <col collapsed="false" customWidth="true" hidden="false" outlineLevel="0" max="8193" min="8193" style="2" width="28.11"/>
    <col collapsed="false" customWidth="true" hidden="false" outlineLevel="0" max="8194" min="8194" style="2" width="10"/>
    <col collapsed="false" customWidth="true" hidden="false" outlineLevel="0" max="8195" min="8195" style="2" width="14.33"/>
    <col collapsed="false" customWidth="true" hidden="false" outlineLevel="0" max="8196" min="8196" style="2" width="8"/>
    <col collapsed="false" customWidth="true" hidden="false" outlineLevel="0" max="8197" min="8197" style="2" width="38"/>
    <col collapsed="false" customWidth="true" hidden="false" outlineLevel="0" max="8198" min="8198" style="2" width="48.11"/>
    <col collapsed="false" customWidth="false" hidden="false" outlineLevel="0" max="8448" min="8199" style="2" width="9"/>
    <col collapsed="false" customWidth="true" hidden="false" outlineLevel="0" max="8449" min="8449" style="2" width="28.11"/>
    <col collapsed="false" customWidth="true" hidden="false" outlineLevel="0" max="8450" min="8450" style="2" width="10"/>
    <col collapsed="false" customWidth="true" hidden="false" outlineLevel="0" max="8451" min="8451" style="2" width="14.33"/>
    <col collapsed="false" customWidth="true" hidden="false" outlineLevel="0" max="8452" min="8452" style="2" width="8"/>
    <col collapsed="false" customWidth="true" hidden="false" outlineLevel="0" max="8453" min="8453" style="2" width="38"/>
    <col collapsed="false" customWidth="true" hidden="false" outlineLevel="0" max="8454" min="8454" style="2" width="48.11"/>
    <col collapsed="false" customWidth="false" hidden="false" outlineLevel="0" max="8704" min="8455" style="2" width="9"/>
    <col collapsed="false" customWidth="true" hidden="false" outlineLevel="0" max="8705" min="8705" style="2" width="28.11"/>
    <col collapsed="false" customWidth="true" hidden="false" outlineLevel="0" max="8706" min="8706" style="2" width="10"/>
    <col collapsed="false" customWidth="true" hidden="false" outlineLevel="0" max="8707" min="8707" style="2" width="14.33"/>
    <col collapsed="false" customWidth="true" hidden="false" outlineLevel="0" max="8708" min="8708" style="2" width="8"/>
    <col collapsed="false" customWidth="true" hidden="false" outlineLevel="0" max="8709" min="8709" style="2" width="38"/>
    <col collapsed="false" customWidth="true" hidden="false" outlineLevel="0" max="8710" min="8710" style="2" width="48.11"/>
    <col collapsed="false" customWidth="false" hidden="false" outlineLevel="0" max="8960" min="8711" style="2" width="9"/>
    <col collapsed="false" customWidth="true" hidden="false" outlineLevel="0" max="8961" min="8961" style="2" width="28.11"/>
    <col collapsed="false" customWidth="true" hidden="false" outlineLevel="0" max="8962" min="8962" style="2" width="10"/>
    <col collapsed="false" customWidth="true" hidden="false" outlineLevel="0" max="8963" min="8963" style="2" width="14.33"/>
    <col collapsed="false" customWidth="true" hidden="false" outlineLevel="0" max="8964" min="8964" style="2" width="8"/>
    <col collapsed="false" customWidth="true" hidden="false" outlineLevel="0" max="8965" min="8965" style="2" width="38"/>
    <col collapsed="false" customWidth="true" hidden="false" outlineLevel="0" max="8966" min="8966" style="2" width="48.11"/>
    <col collapsed="false" customWidth="false" hidden="false" outlineLevel="0" max="9216" min="8967" style="2" width="9"/>
    <col collapsed="false" customWidth="true" hidden="false" outlineLevel="0" max="9217" min="9217" style="2" width="28.11"/>
    <col collapsed="false" customWidth="true" hidden="false" outlineLevel="0" max="9218" min="9218" style="2" width="10"/>
    <col collapsed="false" customWidth="true" hidden="false" outlineLevel="0" max="9219" min="9219" style="2" width="14.33"/>
    <col collapsed="false" customWidth="true" hidden="false" outlineLevel="0" max="9220" min="9220" style="2" width="8"/>
    <col collapsed="false" customWidth="true" hidden="false" outlineLevel="0" max="9221" min="9221" style="2" width="38"/>
    <col collapsed="false" customWidth="true" hidden="false" outlineLevel="0" max="9222" min="9222" style="2" width="48.11"/>
    <col collapsed="false" customWidth="false" hidden="false" outlineLevel="0" max="9472" min="9223" style="2" width="9"/>
    <col collapsed="false" customWidth="true" hidden="false" outlineLevel="0" max="9473" min="9473" style="2" width="28.11"/>
    <col collapsed="false" customWidth="true" hidden="false" outlineLevel="0" max="9474" min="9474" style="2" width="10"/>
    <col collapsed="false" customWidth="true" hidden="false" outlineLevel="0" max="9475" min="9475" style="2" width="14.33"/>
    <col collapsed="false" customWidth="true" hidden="false" outlineLevel="0" max="9476" min="9476" style="2" width="8"/>
    <col collapsed="false" customWidth="true" hidden="false" outlineLevel="0" max="9477" min="9477" style="2" width="38"/>
    <col collapsed="false" customWidth="true" hidden="false" outlineLevel="0" max="9478" min="9478" style="2" width="48.11"/>
    <col collapsed="false" customWidth="false" hidden="false" outlineLevel="0" max="9728" min="9479" style="2" width="9"/>
    <col collapsed="false" customWidth="true" hidden="false" outlineLevel="0" max="9729" min="9729" style="2" width="28.11"/>
    <col collapsed="false" customWidth="true" hidden="false" outlineLevel="0" max="9730" min="9730" style="2" width="10"/>
    <col collapsed="false" customWidth="true" hidden="false" outlineLevel="0" max="9731" min="9731" style="2" width="14.33"/>
    <col collapsed="false" customWidth="true" hidden="false" outlineLevel="0" max="9732" min="9732" style="2" width="8"/>
    <col collapsed="false" customWidth="true" hidden="false" outlineLevel="0" max="9733" min="9733" style="2" width="38"/>
    <col collapsed="false" customWidth="true" hidden="false" outlineLevel="0" max="9734" min="9734" style="2" width="48.11"/>
    <col collapsed="false" customWidth="false" hidden="false" outlineLevel="0" max="9984" min="9735" style="2" width="9"/>
    <col collapsed="false" customWidth="true" hidden="false" outlineLevel="0" max="9985" min="9985" style="2" width="28.11"/>
    <col collapsed="false" customWidth="true" hidden="false" outlineLevel="0" max="9986" min="9986" style="2" width="10"/>
    <col collapsed="false" customWidth="true" hidden="false" outlineLevel="0" max="9987" min="9987" style="2" width="14.33"/>
    <col collapsed="false" customWidth="true" hidden="false" outlineLevel="0" max="9988" min="9988" style="2" width="8"/>
    <col collapsed="false" customWidth="true" hidden="false" outlineLevel="0" max="9989" min="9989" style="2" width="38"/>
    <col collapsed="false" customWidth="true" hidden="false" outlineLevel="0" max="9990" min="9990" style="2" width="48.11"/>
    <col collapsed="false" customWidth="false" hidden="false" outlineLevel="0" max="10240" min="9991" style="2" width="9"/>
    <col collapsed="false" customWidth="true" hidden="false" outlineLevel="0" max="10241" min="10241" style="2" width="28.11"/>
    <col collapsed="false" customWidth="true" hidden="false" outlineLevel="0" max="10242" min="10242" style="2" width="10"/>
    <col collapsed="false" customWidth="true" hidden="false" outlineLevel="0" max="10243" min="10243" style="2" width="14.33"/>
    <col collapsed="false" customWidth="true" hidden="false" outlineLevel="0" max="10244" min="10244" style="2" width="8"/>
    <col collapsed="false" customWidth="true" hidden="false" outlineLevel="0" max="10245" min="10245" style="2" width="38"/>
    <col collapsed="false" customWidth="true" hidden="false" outlineLevel="0" max="10246" min="10246" style="2" width="48.11"/>
    <col collapsed="false" customWidth="false" hidden="false" outlineLevel="0" max="10496" min="10247" style="2" width="9"/>
    <col collapsed="false" customWidth="true" hidden="false" outlineLevel="0" max="10497" min="10497" style="2" width="28.11"/>
    <col collapsed="false" customWidth="true" hidden="false" outlineLevel="0" max="10498" min="10498" style="2" width="10"/>
    <col collapsed="false" customWidth="true" hidden="false" outlineLevel="0" max="10499" min="10499" style="2" width="14.33"/>
    <col collapsed="false" customWidth="true" hidden="false" outlineLevel="0" max="10500" min="10500" style="2" width="8"/>
    <col collapsed="false" customWidth="true" hidden="false" outlineLevel="0" max="10501" min="10501" style="2" width="38"/>
    <col collapsed="false" customWidth="true" hidden="false" outlineLevel="0" max="10502" min="10502" style="2" width="48.11"/>
    <col collapsed="false" customWidth="false" hidden="false" outlineLevel="0" max="10752" min="10503" style="2" width="9"/>
    <col collapsed="false" customWidth="true" hidden="false" outlineLevel="0" max="10753" min="10753" style="2" width="28.11"/>
    <col collapsed="false" customWidth="true" hidden="false" outlineLevel="0" max="10754" min="10754" style="2" width="10"/>
    <col collapsed="false" customWidth="true" hidden="false" outlineLevel="0" max="10755" min="10755" style="2" width="14.33"/>
    <col collapsed="false" customWidth="true" hidden="false" outlineLevel="0" max="10756" min="10756" style="2" width="8"/>
    <col collapsed="false" customWidth="true" hidden="false" outlineLevel="0" max="10757" min="10757" style="2" width="38"/>
    <col collapsed="false" customWidth="true" hidden="false" outlineLevel="0" max="10758" min="10758" style="2" width="48.11"/>
    <col collapsed="false" customWidth="false" hidden="false" outlineLevel="0" max="11008" min="10759" style="2" width="9"/>
    <col collapsed="false" customWidth="true" hidden="false" outlineLevel="0" max="11009" min="11009" style="2" width="28.11"/>
    <col collapsed="false" customWidth="true" hidden="false" outlineLevel="0" max="11010" min="11010" style="2" width="10"/>
    <col collapsed="false" customWidth="true" hidden="false" outlineLevel="0" max="11011" min="11011" style="2" width="14.33"/>
    <col collapsed="false" customWidth="true" hidden="false" outlineLevel="0" max="11012" min="11012" style="2" width="8"/>
    <col collapsed="false" customWidth="true" hidden="false" outlineLevel="0" max="11013" min="11013" style="2" width="38"/>
    <col collapsed="false" customWidth="true" hidden="false" outlineLevel="0" max="11014" min="11014" style="2" width="48.11"/>
    <col collapsed="false" customWidth="false" hidden="false" outlineLevel="0" max="11264" min="11015" style="2" width="9"/>
    <col collapsed="false" customWidth="true" hidden="false" outlineLevel="0" max="11265" min="11265" style="2" width="28.11"/>
    <col collapsed="false" customWidth="true" hidden="false" outlineLevel="0" max="11266" min="11266" style="2" width="10"/>
    <col collapsed="false" customWidth="true" hidden="false" outlineLevel="0" max="11267" min="11267" style="2" width="14.33"/>
    <col collapsed="false" customWidth="true" hidden="false" outlineLevel="0" max="11268" min="11268" style="2" width="8"/>
    <col collapsed="false" customWidth="true" hidden="false" outlineLevel="0" max="11269" min="11269" style="2" width="38"/>
    <col collapsed="false" customWidth="true" hidden="false" outlineLevel="0" max="11270" min="11270" style="2" width="48.11"/>
    <col collapsed="false" customWidth="false" hidden="false" outlineLevel="0" max="11520" min="11271" style="2" width="9"/>
    <col collapsed="false" customWidth="true" hidden="false" outlineLevel="0" max="11521" min="11521" style="2" width="28.11"/>
    <col collapsed="false" customWidth="true" hidden="false" outlineLevel="0" max="11522" min="11522" style="2" width="10"/>
    <col collapsed="false" customWidth="true" hidden="false" outlineLevel="0" max="11523" min="11523" style="2" width="14.33"/>
    <col collapsed="false" customWidth="true" hidden="false" outlineLevel="0" max="11524" min="11524" style="2" width="8"/>
    <col collapsed="false" customWidth="true" hidden="false" outlineLevel="0" max="11525" min="11525" style="2" width="38"/>
    <col collapsed="false" customWidth="true" hidden="false" outlineLevel="0" max="11526" min="11526" style="2" width="48.11"/>
    <col collapsed="false" customWidth="false" hidden="false" outlineLevel="0" max="11776" min="11527" style="2" width="9"/>
    <col collapsed="false" customWidth="true" hidden="false" outlineLevel="0" max="11777" min="11777" style="2" width="28.11"/>
    <col collapsed="false" customWidth="true" hidden="false" outlineLevel="0" max="11778" min="11778" style="2" width="10"/>
    <col collapsed="false" customWidth="true" hidden="false" outlineLevel="0" max="11779" min="11779" style="2" width="14.33"/>
    <col collapsed="false" customWidth="true" hidden="false" outlineLevel="0" max="11780" min="11780" style="2" width="8"/>
    <col collapsed="false" customWidth="true" hidden="false" outlineLevel="0" max="11781" min="11781" style="2" width="38"/>
    <col collapsed="false" customWidth="true" hidden="false" outlineLevel="0" max="11782" min="11782" style="2" width="48.11"/>
    <col collapsed="false" customWidth="false" hidden="false" outlineLevel="0" max="12032" min="11783" style="2" width="9"/>
    <col collapsed="false" customWidth="true" hidden="false" outlineLevel="0" max="12033" min="12033" style="2" width="28.11"/>
    <col collapsed="false" customWidth="true" hidden="false" outlineLevel="0" max="12034" min="12034" style="2" width="10"/>
    <col collapsed="false" customWidth="true" hidden="false" outlineLevel="0" max="12035" min="12035" style="2" width="14.33"/>
    <col collapsed="false" customWidth="true" hidden="false" outlineLevel="0" max="12036" min="12036" style="2" width="8"/>
    <col collapsed="false" customWidth="true" hidden="false" outlineLevel="0" max="12037" min="12037" style="2" width="38"/>
    <col collapsed="false" customWidth="true" hidden="false" outlineLevel="0" max="12038" min="12038" style="2" width="48.11"/>
    <col collapsed="false" customWidth="false" hidden="false" outlineLevel="0" max="12288" min="12039" style="2" width="9"/>
    <col collapsed="false" customWidth="true" hidden="false" outlineLevel="0" max="12289" min="12289" style="2" width="28.11"/>
    <col collapsed="false" customWidth="true" hidden="false" outlineLevel="0" max="12290" min="12290" style="2" width="10"/>
    <col collapsed="false" customWidth="true" hidden="false" outlineLevel="0" max="12291" min="12291" style="2" width="14.33"/>
    <col collapsed="false" customWidth="true" hidden="false" outlineLevel="0" max="12292" min="12292" style="2" width="8"/>
    <col collapsed="false" customWidth="true" hidden="false" outlineLevel="0" max="12293" min="12293" style="2" width="38"/>
    <col collapsed="false" customWidth="true" hidden="false" outlineLevel="0" max="12294" min="12294" style="2" width="48.11"/>
    <col collapsed="false" customWidth="false" hidden="false" outlineLevel="0" max="12544" min="12295" style="2" width="9"/>
    <col collapsed="false" customWidth="true" hidden="false" outlineLevel="0" max="12545" min="12545" style="2" width="28.11"/>
    <col collapsed="false" customWidth="true" hidden="false" outlineLevel="0" max="12546" min="12546" style="2" width="10"/>
    <col collapsed="false" customWidth="true" hidden="false" outlineLevel="0" max="12547" min="12547" style="2" width="14.33"/>
    <col collapsed="false" customWidth="true" hidden="false" outlineLevel="0" max="12548" min="12548" style="2" width="8"/>
    <col collapsed="false" customWidth="true" hidden="false" outlineLevel="0" max="12549" min="12549" style="2" width="38"/>
    <col collapsed="false" customWidth="true" hidden="false" outlineLevel="0" max="12550" min="12550" style="2" width="48.11"/>
    <col collapsed="false" customWidth="false" hidden="false" outlineLevel="0" max="12800" min="12551" style="2" width="9"/>
    <col collapsed="false" customWidth="true" hidden="false" outlineLevel="0" max="12801" min="12801" style="2" width="28.11"/>
    <col collapsed="false" customWidth="true" hidden="false" outlineLevel="0" max="12802" min="12802" style="2" width="10"/>
    <col collapsed="false" customWidth="true" hidden="false" outlineLevel="0" max="12803" min="12803" style="2" width="14.33"/>
    <col collapsed="false" customWidth="true" hidden="false" outlineLevel="0" max="12804" min="12804" style="2" width="8"/>
    <col collapsed="false" customWidth="true" hidden="false" outlineLevel="0" max="12805" min="12805" style="2" width="38"/>
    <col collapsed="false" customWidth="true" hidden="false" outlineLevel="0" max="12806" min="12806" style="2" width="48.11"/>
    <col collapsed="false" customWidth="false" hidden="false" outlineLevel="0" max="13056" min="12807" style="2" width="9"/>
    <col collapsed="false" customWidth="true" hidden="false" outlineLevel="0" max="13057" min="13057" style="2" width="28.11"/>
    <col collapsed="false" customWidth="true" hidden="false" outlineLevel="0" max="13058" min="13058" style="2" width="10"/>
    <col collapsed="false" customWidth="true" hidden="false" outlineLevel="0" max="13059" min="13059" style="2" width="14.33"/>
    <col collapsed="false" customWidth="true" hidden="false" outlineLevel="0" max="13060" min="13060" style="2" width="8"/>
    <col collapsed="false" customWidth="true" hidden="false" outlineLevel="0" max="13061" min="13061" style="2" width="38"/>
    <col collapsed="false" customWidth="true" hidden="false" outlineLevel="0" max="13062" min="13062" style="2" width="48.11"/>
    <col collapsed="false" customWidth="false" hidden="false" outlineLevel="0" max="13312" min="13063" style="2" width="9"/>
    <col collapsed="false" customWidth="true" hidden="false" outlineLevel="0" max="13313" min="13313" style="2" width="28.11"/>
    <col collapsed="false" customWidth="true" hidden="false" outlineLevel="0" max="13314" min="13314" style="2" width="10"/>
    <col collapsed="false" customWidth="true" hidden="false" outlineLevel="0" max="13315" min="13315" style="2" width="14.33"/>
    <col collapsed="false" customWidth="true" hidden="false" outlineLevel="0" max="13316" min="13316" style="2" width="8"/>
    <col collapsed="false" customWidth="true" hidden="false" outlineLevel="0" max="13317" min="13317" style="2" width="38"/>
    <col collapsed="false" customWidth="true" hidden="false" outlineLevel="0" max="13318" min="13318" style="2" width="48.11"/>
    <col collapsed="false" customWidth="false" hidden="false" outlineLevel="0" max="13568" min="13319" style="2" width="9"/>
    <col collapsed="false" customWidth="true" hidden="false" outlineLevel="0" max="13569" min="13569" style="2" width="28.11"/>
    <col collapsed="false" customWidth="true" hidden="false" outlineLevel="0" max="13570" min="13570" style="2" width="10"/>
    <col collapsed="false" customWidth="true" hidden="false" outlineLevel="0" max="13571" min="13571" style="2" width="14.33"/>
    <col collapsed="false" customWidth="true" hidden="false" outlineLevel="0" max="13572" min="13572" style="2" width="8"/>
    <col collapsed="false" customWidth="true" hidden="false" outlineLevel="0" max="13573" min="13573" style="2" width="38"/>
    <col collapsed="false" customWidth="true" hidden="false" outlineLevel="0" max="13574" min="13574" style="2" width="48.11"/>
    <col collapsed="false" customWidth="false" hidden="false" outlineLevel="0" max="13824" min="13575" style="2" width="9"/>
    <col collapsed="false" customWidth="true" hidden="false" outlineLevel="0" max="13825" min="13825" style="2" width="28.11"/>
    <col collapsed="false" customWidth="true" hidden="false" outlineLevel="0" max="13826" min="13826" style="2" width="10"/>
    <col collapsed="false" customWidth="true" hidden="false" outlineLevel="0" max="13827" min="13827" style="2" width="14.33"/>
    <col collapsed="false" customWidth="true" hidden="false" outlineLevel="0" max="13828" min="13828" style="2" width="8"/>
    <col collapsed="false" customWidth="true" hidden="false" outlineLevel="0" max="13829" min="13829" style="2" width="38"/>
    <col collapsed="false" customWidth="true" hidden="false" outlineLevel="0" max="13830" min="13830" style="2" width="48.11"/>
    <col collapsed="false" customWidth="false" hidden="false" outlineLevel="0" max="14080" min="13831" style="2" width="9"/>
    <col collapsed="false" customWidth="true" hidden="false" outlineLevel="0" max="14081" min="14081" style="2" width="28.11"/>
    <col collapsed="false" customWidth="true" hidden="false" outlineLevel="0" max="14082" min="14082" style="2" width="10"/>
    <col collapsed="false" customWidth="true" hidden="false" outlineLevel="0" max="14083" min="14083" style="2" width="14.33"/>
    <col collapsed="false" customWidth="true" hidden="false" outlineLevel="0" max="14084" min="14084" style="2" width="8"/>
    <col collapsed="false" customWidth="true" hidden="false" outlineLevel="0" max="14085" min="14085" style="2" width="38"/>
    <col collapsed="false" customWidth="true" hidden="false" outlineLevel="0" max="14086" min="14086" style="2" width="48.11"/>
    <col collapsed="false" customWidth="false" hidden="false" outlineLevel="0" max="14336" min="14087" style="2" width="9"/>
    <col collapsed="false" customWidth="true" hidden="false" outlineLevel="0" max="14337" min="14337" style="2" width="28.11"/>
    <col collapsed="false" customWidth="true" hidden="false" outlineLevel="0" max="14338" min="14338" style="2" width="10"/>
    <col collapsed="false" customWidth="true" hidden="false" outlineLevel="0" max="14339" min="14339" style="2" width="14.33"/>
    <col collapsed="false" customWidth="true" hidden="false" outlineLevel="0" max="14340" min="14340" style="2" width="8"/>
    <col collapsed="false" customWidth="true" hidden="false" outlineLevel="0" max="14341" min="14341" style="2" width="38"/>
    <col collapsed="false" customWidth="true" hidden="false" outlineLevel="0" max="14342" min="14342" style="2" width="48.11"/>
    <col collapsed="false" customWidth="false" hidden="false" outlineLevel="0" max="14592" min="14343" style="2" width="9"/>
    <col collapsed="false" customWidth="true" hidden="false" outlineLevel="0" max="14593" min="14593" style="2" width="28.11"/>
    <col collapsed="false" customWidth="true" hidden="false" outlineLevel="0" max="14594" min="14594" style="2" width="10"/>
    <col collapsed="false" customWidth="true" hidden="false" outlineLevel="0" max="14595" min="14595" style="2" width="14.33"/>
    <col collapsed="false" customWidth="true" hidden="false" outlineLevel="0" max="14596" min="14596" style="2" width="8"/>
    <col collapsed="false" customWidth="true" hidden="false" outlineLevel="0" max="14597" min="14597" style="2" width="38"/>
    <col collapsed="false" customWidth="true" hidden="false" outlineLevel="0" max="14598" min="14598" style="2" width="48.11"/>
    <col collapsed="false" customWidth="false" hidden="false" outlineLevel="0" max="14848" min="14599" style="2" width="9"/>
    <col collapsed="false" customWidth="true" hidden="false" outlineLevel="0" max="14849" min="14849" style="2" width="28.11"/>
    <col collapsed="false" customWidth="true" hidden="false" outlineLevel="0" max="14850" min="14850" style="2" width="10"/>
    <col collapsed="false" customWidth="true" hidden="false" outlineLevel="0" max="14851" min="14851" style="2" width="14.33"/>
    <col collapsed="false" customWidth="true" hidden="false" outlineLevel="0" max="14852" min="14852" style="2" width="8"/>
    <col collapsed="false" customWidth="true" hidden="false" outlineLevel="0" max="14853" min="14853" style="2" width="38"/>
    <col collapsed="false" customWidth="true" hidden="false" outlineLevel="0" max="14854" min="14854" style="2" width="48.11"/>
    <col collapsed="false" customWidth="false" hidden="false" outlineLevel="0" max="15104" min="14855" style="2" width="9"/>
    <col collapsed="false" customWidth="true" hidden="false" outlineLevel="0" max="15105" min="15105" style="2" width="28.11"/>
    <col collapsed="false" customWidth="true" hidden="false" outlineLevel="0" max="15106" min="15106" style="2" width="10"/>
    <col collapsed="false" customWidth="true" hidden="false" outlineLevel="0" max="15107" min="15107" style="2" width="14.33"/>
    <col collapsed="false" customWidth="true" hidden="false" outlineLevel="0" max="15108" min="15108" style="2" width="8"/>
    <col collapsed="false" customWidth="true" hidden="false" outlineLevel="0" max="15109" min="15109" style="2" width="38"/>
    <col collapsed="false" customWidth="true" hidden="false" outlineLevel="0" max="15110" min="15110" style="2" width="48.11"/>
    <col collapsed="false" customWidth="false" hidden="false" outlineLevel="0" max="15360" min="15111" style="2" width="9"/>
    <col collapsed="false" customWidth="true" hidden="false" outlineLevel="0" max="15361" min="15361" style="2" width="28.11"/>
    <col collapsed="false" customWidth="true" hidden="false" outlineLevel="0" max="15362" min="15362" style="2" width="10"/>
    <col collapsed="false" customWidth="true" hidden="false" outlineLevel="0" max="15363" min="15363" style="2" width="14.33"/>
    <col collapsed="false" customWidth="true" hidden="false" outlineLevel="0" max="15364" min="15364" style="2" width="8"/>
    <col collapsed="false" customWidth="true" hidden="false" outlineLevel="0" max="15365" min="15365" style="2" width="38"/>
    <col collapsed="false" customWidth="true" hidden="false" outlineLevel="0" max="15366" min="15366" style="2" width="48.11"/>
    <col collapsed="false" customWidth="false" hidden="false" outlineLevel="0" max="15616" min="15367" style="2" width="9"/>
    <col collapsed="false" customWidth="true" hidden="false" outlineLevel="0" max="15617" min="15617" style="2" width="28.11"/>
    <col collapsed="false" customWidth="true" hidden="false" outlineLevel="0" max="15618" min="15618" style="2" width="10"/>
    <col collapsed="false" customWidth="true" hidden="false" outlineLevel="0" max="15619" min="15619" style="2" width="14.33"/>
    <col collapsed="false" customWidth="true" hidden="false" outlineLevel="0" max="15620" min="15620" style="2" width="8"/>
    <col collapsed="false" customWidth="true" hidden="false" outlineLevel="0" max="15621" min="15621" style="2" width="38"/>
    <col collapsed="false" customWidth="true" hidden="false" outlineLevel="0" max="15622" min="15622" style="2" width="48.11"/>
    <col collapsed="false" customWidth="false" hidden="false" outlineLevel="0" max="15872" min="15623" style="2" width="9"/>
    <col collapsed="false" customWidth="true" hidden="false" outlineLevel="0" max="15873" min="15873" style="2" width="28.11"/>
    <col collapsed="false" customWidth="true" hidden="false" outlineLevel="0" max="15874" min="15874" style="2" width="10"/>
    <col collapsed="false" customWidth="true" hidden="false" outlineLevel="0" max="15875" min="15875" style="2" width="14.33"/>
    <col collapsed="false" customWidth="true" hidden="false" outlineLevel="0" max="15876" min="15876" style="2" width="8"/>
    <col collapsed="false" customWidth="true" hidden="false" outlineLevel="0" max="15877" min="15877" style="2" width="38"/>
    <col collapsed="false" customWidth="true" hidden="false" outlineLevel="0" max="15878" min="15878" style="2" width="48.11"/>
    <col collapsed="false" customWidth="false" hidden="false" outlineLevel="0" max="16128" min="15879" style="2" width="9"/>
    <col collapsed="false" customWidth="true" hidden="false" outlineLevel="0" max="16129" min="16129" style="2" width="28.11"/>
    <col collapsed="false" customWidth="true" hidden="false" outlineLevel="0" max="16130" min="16130" style="2" width="10"/>
    <col collapsed="false" customWidth="true" hidden="false" outlineLevel="0" max="16131" min="16131" style="2" width="14.33"/>
    <col collapsed="false" customWidth="true" hidden="false" outlineLevel="0" max="16132" min="16132" style="2" width="8"/>
    <col collapsed="false" customWidth="true" hidden="false" outlineLevel="0" max="16133" min="16133" style="2" width="38"/>
    <col collapsed="false" customWidth="true" hidden="false" outlineLevel="0" max="16134" min="16134" style="2" width="48.11"/>
    <col collapsed="false" customWidth="false" hidden="false" outlineLevel="0" max="16384" min="16135" style="2" width="9"/>
  </cols>
  <sheetData>
    <row r="2" s="5" customFormat="true" ht="75.75" hidden="false" customHeight="true" outlineLevel="0" collapsed="false">
      <c r="A2" s="3"/>
      <c r="B2" s="4" t="s">
        <v>0</v>
      </c>
      <c r="C2" s="4"/>
      <c r="D2" s="4"/>
      <c r="E2" s="4"/>
      <c r="F2" s="4"/>
    </row>
    <row r="3" customFormat="false" ht="12.75" hidden="false" customHeight="true" outlineLevel="0" collapsed="false">
      <c r="A3" s="6"/>
      <c r="B3" s="7"/>
      <c r="E3" s="8"/>
    </row>
    <row r="4" customFormat="false" ht="14.25" hidden="false" customHeight="true" outlineLevel="0" collapsed="false">
      <c r="A4" s="9" t="s">
        <v>1</v>
      </c>
      <c r="B4" s="10" t="s">
        <v>2</v>
      </c>
      <c r="C4" s="10"/>
      <c r="D4" s="10"/>
      <c r="E4" s="9" t="s">
        <v>3</v>
      </c>
      <c r="F4" s="11" t="s">
        <v>4</v>
      </c>
    </row>
    <row r="5" customFormat="false" ht="14.25" hidden="false" customHeight="true" outlineLevel="0" collapsed="false">
      <c r="A5" s="9" t="s">
        <v>5</v>
      </c>
      <c r="B5" s="10" t="s">
        <v>6</v>
      </c>
      <c r="C5" s="10"/>
      <c r="D5" s="10"/>
      <c r="E5" s="9" t="s">
        <v>7</v>
      </c>
      <c r="F5" s="12" t="n">
        <v>46214</v>
      </c>
    </row>
    <row r="6" customFormat="false" ht="15.75" hidden="false" customHeight="true" outlineLevel="0" collapsed="false">
      <c r="A6" s="13" t="s">
        <v>8</v>
      </c>
      <c r="B6" s="14" t="str">
        <f aca="false">B5&amp;"_"&amp;"XXX"&amp;"_"&amp;"vx.x"</f>
        <v>UEMS_XXX_vx.x</v>
      </c>
      <c r="C6" s="14"/>
      <c r="D6" s="14"/>
      <c r="E6" s="9" t="s">
        <v>9</v>
      </c>
      <c r="F6" s="15" t="s">
        <v>10</v>
      </c>
    </row>
    <row r="7" customFormat="false" ht="12.75" hidden="false" customHeight="true" outlineLevel="0" collapsed="false">
      <c r="A7" s="16"/>
      <c r="B7" s="17"/>
      <c r="E7" s="18"/>
      <c r="F7" s="7"/>
    </row>
    <row r="8" s="2" customFormat="true" ht="12.75" hidden="false" customHeight="true" outlineLevel="0" collapsed="false"/>
    <row r="9" customFormat="false" ht="23.25" hidden="false" customHeight="true" outlineLevel="0" collapsed="false">
      <c r="A9" s="19" t="n">
        <v>46193</v>
      </c>
      <c r="B9" s="2" t="s">
        <v>10</v>
      </c>
      <c r="C9" s="2" t="s">
        <v>11</v>
      </c>
      <c r="D9" s="2" t="s">
        <v>12</v>
      </c>
      <c r="E9" s="20" t="s">
        <v>13</v>
      </c>
      <c r="F9" s="2" t="s">
        <v>14</v>
      </c>
    </row>
    <row r="10" s="24" customFormat="true" ht="12.75" hidden="false" customHeight="true" outlineLevel="0" collapsed="false">
      <c r="A10" s="21" t="n">
        <v>46201</v>
      </c>
      <c r="B10" s="22" t="s">
        <v>15</v>
      </c>
      <c r="C10" s="22" t="s">
        <v>11</v>
      </c>
      <c r="D10" s="22" t="s">
        <v>12</v>
      </c>
      <c r="E10" s="22" t="s">
        <v>16</v>
      </c>
      <c r="F10" s="23" t="s">
        <v>14</v>
      </c>
    </row>
    <row r="11" s="30" customFormat="true" ht="26.25" hidden="false" customHeight="true" outlineLevel="0" collapsed="false">
      <c r="A11" s="25" t="n">
        <v>46208</v>
      </c>
      <c r="B11" s="26" t="s">
        <v>17</v>
      </c>
      <c r="C11" s="27" t="s">
        <v>11</v>
      </c>
      <c r="D11" s="27" t="s">
        <v>12</v>
      </c>
      <c r="E11" s="28" t="s">
        <v>18</v>
      </c>
      <c r="F11" s="29" t="s">
        <v>14</v>
      </c>
    </row>
    <row r="12" s="30" customFormat="true" ht="21.75" hidden="false" customHeight="true" outlineLevel="0" collapsed="false">
      <c r="A12" s="31" t="n">
        <v>46214</v>
      </c>
      <c r="B12" s="26" t="s">
        <v>19</v>
      </c>
      <c r="C12" s="27" t="s">
        <v>4</v>
      </c>
      <c r="D12" s="27" t="s">
        <v>20</v>
      </c>
      <c r="E12" s="27" t="s">
        <v>21</v>
      </c>
      <c r="F12" s="32" t="s">
        <v>14</v>
      </c>
    </row>
    <row r="13" s="30" customFormat="true" ht="19.5" hidden="false" customHeight="true" outlineLevel="0" collapsed="false">
      <c r="A13" s="31"/>
      <c r="B13" s="26"/>
      <c r="C13" s="27"/>
      <c r="D13" s="27"/>
      <c r="E13" s="27"/>
      <c r="F13" s="32"/>
    </row>
    <row r="14" s="30" customFormat="true" ht="21.75" hidden="false" customHeight="true" outlineLevel="0" collapsed="false">
      <c r="A14" s="31"/>
      <c r="B14" s="26"/>
      <c r="C14" s="27"/>
      <c r="D14" s="27"/>
      <c r="E14" s="27"/>
      <c r="F14" s="32"/>
    </row>
    <row r="15" s="30" customFormat="true" ht="19.5" hidden="false" customHeight="true" outlineLevel="0" collapsed="false">
      <c r="A15" s="31"/>
      <c r="B15" s="26"/>
      <c r="C15" s="27"/>
      <c r="D15" s="27"/>
      <c r="E15" s="27"/>
      <c r="F15" s="32"/>
    </row>
    <row r="16" s="30" customFormat="true" ht="21.75" hidden="false" customHeight="true" outlineLevel="0" collapsed="false">
      <c r="A16" s="31"/>
      <c r="B16" s="26"/>
      <c r="C16" s="27"/>
      <c r="D16" s="27"/>
      <c r="E16" s="27"/>
      <c r="F16" s="32"/>
    </row>
    <row r="17" s="30" customFormat="true" ht="19.5" hidden="false" customHeight="true" outlineLevel="0" collapsed="false">
      <c r="A17" s="33"/>
      <c r="B17" s="34"/>
      <c r="C17" s="35"/>
      <c r="D17" s="35"/>
      <c r="E17" s="35"/>
      <c r="F17" s="36"/>
    </row>
  </sheetData>
  <mergeCells count="4">
    <mergeCell ref="B2:F2"/>
    <mergeCell ref="B4:D4"/>
    <mergeCell ref="B5:D5"/>
    <mergeCell ref="B6:D6"/>
  </mergeCells>
  <printOptions headings="false" gridLines="false" gridLinesSet="true" horizontalCentered="false" verticalCentered="false"/>
  <pageMargins left="0.470138888888889" right="0.470138888888889" top="0.5" bottom="0.351388888888889" header="0.511811023622047" footer="0.170138888888889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&amp;L&amp;"Tahoma,Regular"&amp;8 02ae-BM/PM/HDCV/FSOFT v2/1&amp;C&amp;"Tahoma,Regular"&amp;8 Internal use&amp;R&amp;"tahomaTahoma,Regular"&amp;8 &amp;P/&amp;N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9" defaultRowHeight="12.75" customHeight="false" zeroHeight="false" outlineLevelRow="0" outlineLevelCol="0"/>
  <cols>
    <col collapsed="false" customWidth="true" hidden="false" outlineLevel="0" max="1" min="1" style="8" width="1.33"/>
    <col collapsed="false" customWidth="true" hidden="false" outlineLevel="0" max="2" min="2" style="37" width="11.78"/>
    <col collapsed="false" customWidth="true" hidden="false" outlineLevel="0" max="3" min="3" style="38" width="26.44"/>
    <col collapsed="false" customWidth="true" hidden="false" outlineLevel="0" max="4" min="4" style="38" width="17.11"/>
    <col collapsed="false" customWidth="true" hidden="false" outlineLevel="0" max="5" min="5" style="38" width="28.11"/>
    <col collapsed="false" customWidth="true" hidden="false" outlineLevel="0" max="6" min="6" style="38" width="30.66"/>
    <col collapsed="false" customWidth="false" hidden="false" outlineLevel="0" max="16384" min="7" style="8" width="9"/>
  </cols>
  <sheetData>
    <row r="1" customFormat="false" ht="24" hidden="false" customHeight="true" outlineLevel="0" collapsed="false">
      <c r="B1" s="39"/>
      <c r="D1" s="40" t="s">
        <v>22</v>
      </c>
      <c r="E1" s="41"/>
    </row>
    <row r="2" customFormat="false" ht="13.5" hidden="false" customHeight="true" outlineLevel="0" collapsed="false">
      <c r="B2" s="39"/>
      <c r="D2" s="42"/>
      <c r="E2" s="42"/>
    </row>
    <row r="3" customFormat="false" ht="12.75" hidden="false" customHeight="true" outlineLevel="0" collapsed="false">
      <c r="B3" s="43" t="s">
        <v>1</v>
      </c>
      <c r="C3" s="43"/>
      <c r="D3" s="44" t="str">
        <f aca="false">+Cover!B4</f>
        <v>He thong Quan ly Su kien &amp; Ho tro AI</v>
      </c>
      <c r="E3" s="44"/>
      <c r="F3" s="44"/>
    </row>
    <row r="4" customFormat="false" ht="12.75" hidden="false" customHeight="true" outlineLevel="0" collapsed="false">
      <c r="B4" s="43" t="s">
        <v>5</v>
      </c>
      <c r="C4" s="43"/>
      <c r="D4" s="44" t="str">
        <f aca="false">+Cover!B5</f>
        <v>UEMS</v>
      </c>
      <c r="E4" s="44"/>
      <c r="F4" s="44"/>
    </row>
    <row r="5" s="45" customFormat="true" ht="84.75" hidden="false" customHeight="true" outlineLevel="0" collapsed="false">
      <c r="B5" s="46" t="s">
        <v>23</v>
      </c>
      <c r="C5" s="46"/>
      <c r="D5" s="47" t="s">
        <v>24</v>
      </c>
      <c r="E5" s="47"/>
      <c r="F5" s="47"/>
    </row>
    <row r="6" s="8" customFormat="true" ht="12.75" hidden="false" customHeight="true" outlineLevel="0" collapsed="false">
      <c r="B6" s="48"/>
    </row>
    <row r="7" s="49" customFormat="true" ht="12.75" hidden="false" customHeight="true" outlineLevel="0" collapsed="false">
      <c r="B7" s="50"/>
      <c r="C7" s="51"/>
      <c r="D7" s="51"/>
      <c r="E7" s="51"/>
      <c r="F7" s="51"/>
    </row>
    <row r="8" s="52" customFormat="true" ht="21" hidden="false" customHeight="true" outlineLevel="0" collapsed="false">
      <c r="B8" s="53" t="s">
        <v>25</v>
      </c>
      <c r="C8" s="54" t="s">
        <v>26</v>
      </c>
      <c r="D8" s="54" t="s">
        <v>27</v>
      </c>
      <c r="E8" s="55" t="s">
        <v>28</v>
      </c>
      <c r="F8" s="56" t="s">
        <v>29</v>
      </c>
    </row>
    <row r="9" customFormat="false" ht="13.5" hidden="false" customHeight="true" outlineLevel="0" collapsed="false">
      <c r="B9" s="57" t="n">
        <v>1</v>
      </c>
      <c r="C9" s="58" t="str">
        <f aca="false">Authentication!B2</f>
        <v>Authentication</v>
      </c>
      <c r="D9" s="59" t="str">
        <f aca="false">C9</f>
        <v>Authentication</v>
      </c>
      <c r="E9" s="60" t="s">
        <v>30</v>
      </c>
      <c r="F9" s="61" t="s">
        <v>14</v>
      </c>
    </row>
    <row r="10" customFormat="false" ht="13.5" hidden="false" customHeight="true" outlineLevel="0" collapsed="false">
      <c r="B10" s="57" t="n">
        <v>2</v>
      </c>
      <c r="C10" s="58" t="str">
        <f aca="false">'Event Management'!B2</f>
        <v>Event Management</v>
      </c>
      <c r="D10" s="59" t="str">
        <f aca="false">C10</f>
        <v>Event Management</v>
      </c>
      <c r="E10" s="60" t="s">
        <v>31</v>
      </c>
      <c r="F10" s="61" t="s">
        <v>14</v>
      </c>
    </row>
    <row r="11" customFormat="false" ht="13.5" hidden="false" customHeight="true" outlineLevel="0" collapsed="false">
      <c r="B11" s="57" t="n">
        <v>3</v>
      </c>
      <c r="C11" s="58" t="str">
        <f aca="false">'Registration &amp; Ticketing'!B2</f>
        <v>Registration &amp; Ticketing</v>
      </c>
      <c r="D11" s="59" t="str">
        <f aca="false">C11</f>
        <v>Registration &amp; Ticketing</v>
      </c>
      <c r="E11" s="60" t="s">
        <v>32</v>
      </c>
      <c r="F11" s="61" t="s">
        <v>14</v>
      </c>
    </row>
    <row r="12" customFormat="false" ht="13.5" hidden="false" customHeight="true" outlineLevel="0" collapsed="false">
      <c r="B12" s="57" t="n">
        <v>4</v>
      </c>
      <c r="C12" s="58" t="str">
        <f aca="false">'Check-in &amp; QR'!B2</f>
        <v>Check-in &amp; QR</v>
      </c>
      <c r="D12" s="59" t="str">
        <f aca="false">C12</f>
        <v>Check-in &amp; QR</v>
      </c>
      <c r="E12" s="60" t="s">
        <v>33</v>
      </c>
      <c r="F12" s="61" t="s">
        <v>14</v>
      </c>
    </row>
    <row r="13" customFormat="false" ht="14.25" hidden="false" customHeight="true" outlineLevel="0" collapsed="false">
      <c r="B13" s="57" t="n">
        <v>5</v>
      </c>
      <c r="C13" s="58" t="s">
        <v>34</v>
      </c>
      <c r="D13" s="59" t="s">
        <v>35</v>
      </c>
      <c r="E13" s="60"/>
      <c r="F13" s="61"/>
    </row>
    <row r="14" customFormat="false" ht="12.75" hidden="false" customHeight="true" outlineLevel="0" collapsed="false">
      <c r="B14" s="57"/>
      <c r="C14" s="58"/>
      <c r="D14" s="62"/>
      <c r="E14" s="62"/>
      <c r="F14" s="61"/>
    </row>
    <row r="15" customFormat="false" ht="12.75" hidden="false" customHeight="true" outlineLevel="0" collapsed="false">
      <c r="B15" s="57"/>
      <c r="C15" s="58"/>
      <c r="D15" s="62"/>
      <c r="E15" s="62"/>
      <c r="F15" s="61"/>
    </row>
    <row r="16" customFormat="false" ht="12.75" hidden="false" customHeight="true" outlineLevel="0" collapsed="false">
      <c r="B16" s="57"/>
      <c r="C16" s="58"/>
      <c r="D16" s="62"/>
      <c r="E16" s="62"/>
      <c r="F16" s="61"/>
    </row>
    <row r="17" customFormat="false" ht="12.75" hidden="false" customHeight="true" outlineLevel="0" collapsed="false">
      <c r="B17" s="57"/>
      <c r="C17" s="58"/>
      <c r="D17" s="62"/>
      <c r="E17" s="62"/>
      <c r="F17" s="61"/>
    </row>
    <row r="18" customFormat="false" ht="12.75" hidden="false" customHeight="true" outlineLevel="0" collapsed="false">
      <c r="B18" s="57"/>
      <c r="C18" s="58"/>
      <c r="D18" s="62"/>
      <c r="E18" s="62"/>
      <c r="F18" s="61"/>
    </row>
    <row r="19" customFormat="false" ht="12.75" hidden="false" customHeight="true" outlineLevel="0" collapsed="false">
      <c r="B19" s="57"/>
      <c r="C19" s="58"/>
      <c r="D19" s="62"/>
      <c r="E19" s="62"/>
      <c r="F19" s="61"/>
    </row>
    <row r="20" customFormat="false" ht="12.75" hidden="false" customHeight="true" outlineLevel="0" collapsed="false">
      <c r="B20" s="57"/>
      <c r="C20" s="58"/>
      <c r="D20" s="62"/>
      <c r="E20" s="62"/>
      <c r="F20" s="61"/>
    </row>
    <row r="21" customFormat="false" ht="12.75" hidden="false" customHeight="true" outlineLevel="0" collapsed="false">
      <c r="B21" s="63"/>
      <c r="C21" s="64"/>
      <c r="D21" s="65"/>
      <c r="E21" s="65"/>
      <c r="F21" s="66"/>
    </row>
  </sheetData>
  <mergeCells count="6">
    <mergeCell ref="B3:C3"/>
    <mergeCell ref="D3:F3"/>
    <mergeCell ref="B4:C4"/>
    <mergeCell ref="D4:F4"/>
    <mergeCell ref="B5:C5"/>
    <mergeCell ref="D5:F5"/>
  </mergeCells>
  <hyperlinks>
    <hyperlink ref="D9" location="Feature1!A1" display="#Feature1.A1"/>
    <hyperlink ref="D10" location="Feature2!A1" display="#Feature2.A1"/>
    <hyperlink ref="D11" location="Feature1!A1" display="#Feature1.A1"/>
    <hyperlink ref="D12" location="Feature2!A1" display="#Feature2.A1"/>
    <hyperlink ref="D13" location="Feature2!A1" display="Feature2"/>
  </hyperlinks>
  <printOptions headings="false" gridLines="false" gridLinesSet="true" horizontalCentered="false" verticalCentered="false"/>
  <pageMargins left="0.747916666666667" right="0.747916666666667" top="0.984027777777778" bottom="1.15069444444444" header="0.511811023622047" footer="0.9840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&amp;L&amp;"Tahoma,Regular"&amp;8 02ae-BM/PM/HDCV/FSOFT v2/0&amp;C&amp;"tahoma,Regular"&amp;8 Internal use&amp;R&amp;"tahoma,Regular"&amp;8 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7" activeCellId="0" sqref="G17"/>
    </sheetView>
  </sheetViews>
  <sheetFormatPr defaultColWidth="9" defaultRowHeight="12.75" customHeight="false" zeroHeight="false" outlineLevelRow="0" outlineLevelCol="0"/>
  <cols>
    <col collapsed="false" customWidth="true" hidden="false" outlineLevel="0" max="1" min="1" style="8" width="4.44"/>
    <col collapsed="false" customWidth="true" hidden="false" outlineLevel="0" max="2" min="2" style="8" width="18.33"/>
    <col collapsed="false" customWidth="true" hidden="false" outlineLevel="0" max="3" min="3" style="8" width="19.33"/>
    <col collapsed="false" customWidth="true" hidden="false" outlineLevel="0" max="6" min="4" style="8" width="11.66"/>
    <col collapsed="false" customWidth="false" hidden="false" outlineLevel="0" max="7" min="7" style="8" width="9"/>
    <col collapsed="false" customWidth="true" hidden="false" outlineLevel="0" max="8" min="8" style="8" width="35.44"/>
    <col collapsed="false" customWidth="true" hidden="false" outlineLevel="0" max="9" min="9" style="8" width="33.11"/>
    <col collapsed="false" customWidth="false" hidden="false" outlineLevel="0" max="16384" min="10" style="8" width="9"/>
  </cols>
  <sheetData>
    <row r="1" customFormat="false" ht="25.5" hidden="false" customHeight="true" outlineLevel="0" collapsed="false">
      <c r="B1" s="67" t="s">
        <v>36</v>
      </c>
      <c r="C1" s="67"/>
      <c r="D1" s="67"/>
      <c r="E1" s="67"/>
      <c r="F1" s="67"/>
      <c r="G1" s="67"/>
      <c r="H1" s="67"/>
    </row>
    <row r="2" customFormat="false" ht="14.25" hidden="false" customHeight="true" outlineLevel="0" collapsed="false">
      <c r="A2" s="68"/>
      <c r="B2" s="68"/>
      <c r="H2" s="69"/>
    </row>
    <row r="3" customFormat="false" ht="12" hidden="false" customHeight="true" outlineLevel="0" collapsed="false">
      <c r="B3" s="70" t="s">
        <v>1</v>
      </c>
      <c r="C3" s="44" t="str">
        <f aca="false">+Cover!B4</f>
        <v>He thong Quan ly Su kien &amp; Ho tro AI</v>
      </c>
      <c r="D3" s="44"/>
      <c r="E3" s="71" t="s">
        <v>3</v>
      </c>
      <c r="F3" s="71"/>
      <c r="G3" s="72"/>
      <c r="H3" s="73" t="str">
        <f aca="false">+Cover!F4</f>
        <v>Tran Xuan Thuan</v>
      </c>
    </row>
    <row r="4" customFormat="false" ht="12" hidden="false" customHeight="true" outlineLevel="0" collapsed="false">
      <c r="B4" s="70" t="s">
        <v>5</v>
      </c>
      <c r="C4" s="44" t="str">
        <f aca="false">+Cover!B5</f>
        <v>UEMS</v>
      </c>
      <c r="D4" s="44"/>
      <c r="E4" s="71" t="s">
        <v>37</v>
      </c>
      <c r="F4" s="71"/>
      <c r="G4" s="72"/>
      <c r="H4" s="73" t="s">
        <v>11</v>
      </c>
    </row>
    <row r="5" customFormat="false" ht="12" hidden="false" customHeight="true" outlineLevel="0" collapsed="false">
      <c r="B5" s="74" t="s">
        <v>8</v>
      </c>
      <c r="C5" s="44" t="str">
        <f aca="false">+Cover!B6</f>
        <v>UEMS_XXX_vx.x</v>
      </c>
      <c r="D5" s="44"/>
      <c r="E5" s="71" t="s">
        <v>7</v>
      </c>
      <c r="F5" s="71"/>
      <c r="G5" s="72"/>
      <c r="H5" s="75" t="n">
        <f aca="false">+Cover!F5</f>
        <v>46214</v>
      </c>
    </row>
    <row r="6" customFormat="false" ht="21.75" hidden="false" customHeight="true" outlineLevel="0" collapsed="false">
      <c r="A6" s="68"/>
      <c r="B6" s="74" t="s">
        <v>38</v>
      </c>
      <c r="C6" s="76" t="s">
        <v>39</v>
      </c>
      <c r="D6" s="76"/>
      <c r="E6" s="76"/>
      <c r="F6" s="76"/>
      <c r="G6" s="76"/>
      <c r="H6" s="76"/>
    </row>
    <row r="7" customFormat="false" ht="14.25" hidden="false" customHeight="true" outlineLevel="0" collapsed="false">
      <c r="A7" s="68"/>
      <c r="B7" s="77"/>
      <c r="C7" s="78"/>
      <c r="H7" s="69"/>
    </row>
    <row r="8" customFormat="false" ht="12.75" hidden="false" customHeight="true" outlineLevel="0" collapsed="false">
      <c r="B8" s="77"/>
      <c r="C8" s="78"/>
      <c r="H8" s="69"/>
    </row>
    <row r="10" customFormat="false" ht="12.75" hidden="false" customHeight="true" outlineLevel="0" collapsed="false">
      <c r="A10" s="79"/>
      <c r="B10" s="80" t="s">
        <v>25</v>
      </c>
      <c r="C10" s="81" t="s">
        <v>40</v>
      </c>
      <c r="D10" s="82" t="s">
        <v>41</v>
      </c>
      <c r="E10" s="81" t="s">
        <v>42</v>
      </c>
      <c r="F10" s="81" t="s">
        <v>43</v>
      </c>
      <c r="G10" s="83" t="s">
        <v>44</v>
      </c>
      <c r="H10" s="84" t="s">
        <v>45</v>
      </c>
    </row>
    <row r="11" customFormat="false" ht="12.75" hidden="false" customHeight="true" outlineLevel="0" collapsed="false">
      <c r="A11" s="79"/>
      <c r="B11" s="85" t="n">
        <v>1</v>
      </c>
      <c r="C11" s="86" t="str">
        <f aca="false">Authentication!B2</f>
        <v>Authentication</v>
      </c>
      <c r="D11" s="87" t="n">
        <f aca="false">Authentication!B6</f>
        <v>9</v>
      </c>
      <c r="E11" s="87" t="n">
        <f aca="false">Authentication!C6</f>
        <v>0</v>
      </c>
      <c r="F11" s="87" t="n">
        <f aca="false">Authentication!D6</f>
        <v>0</v>
      </c>
      <c r="G11" s="87" t="n">
        <f aca="false">Authentication!E6</f>
        <v>0</v>
      </c>
      <c r="H11" s="88" t="n">
        <f aca="false">Authentication!B4</f>
        <v>11</v>
      </c>
    </row>
    <row r="12" customFormat="false" ht="12.75" hidden="false" customHeight="true" outlineLevel="0" collapsed="false">
      <c r="A12" s="79"/>
      <c r="B12" s="85" t="n">
        <v>2</v>
      </c>
      <c r="C12" s="86" t="str">
        <f aca="false">'Event Management'!B2</f>
        <v>Event Management</v>
      </c>
      <c r="D12" s="87" t="n">
        <f aca="false">'Event Management'!B6</f>
        <v>8</v>
      </c>
      <c r="E12" s="87" t="n">
        <f aca="false">'Event Management'!C6</f>
        <v>0</v>
      </c>
      <c r="F12" s="87" t="n">
        <f aca="false">'Event Management'!D6</f>
        <v>0</v>
      </c>
      <c r="G12" s="87" t="n">
        <f aca="false">'Event Management'!E6</f>
        <v>0</v>
      </c>
      <c r="H12" s="87" t="n">
        <f aca="false">'Event Management'!B4</f>
        <v>10</v>
      </c>
    </row>
    <row r="13" customFormat="false" ht="12.75" hidden="false" customHeight="true" outlineLevel="0" collapsed="false">
      <c r="B13" s="85" t="n">
        <v>3</v>
      </c>
      <c r="C13" s="86" t="str">
        <f aca="false">'Registration &amp; Ticketing'!B2</f>
        <v>Registration &amp; Ticketing</v>
      </c>
      <c r="D13" s="87" t="n">
        <f aca="false">'Registration &amp; Ticketing'!B6</f>
        <v>7</v>
      </c>
      <c r="E13" s="87" t="n">
        <f aca="false">'Registration &amp; Ticketing'!C6</f>
        <v>0</v>
      </c>
      <c r="F13" s="87" t="n">
        <f aca="false">'Registration &amp; Ticketing'!D6</f>
        <v>0</v>
      </c>
      <c r="G13" s="87" t="n">
        <f aca="false">'Registration &amp; Ticketing'!E6</f>
        <v>0</v>
      </c>
      <c r="H13" s="88" t="n">
        <f aca="false">'Registration &amp; Ticketing'!B4</f>
        <v>8</v>
      </c>
    </row>
    <row r="14" customFormat="false" ht="12.75" hidden="false" customHeight="true" outlineLevel="0" collapsed="false">
      <c r="B14" s="85" t="n">
        <v>4</v>
      </c>
      <c r="C14" s="86" t="str">
        <f aca="false">'Check-in &amp; QR'!B2</f>
        <v>Check-in &amp; QR</v>
      </c>
      <c r="D14" s="87" t="n">
        <f aca="false">'Check-in &amp; QR'!B6</f>
        <v>5</v>
      </c>
      <c r="E14" s="87" t="n">
        <f aca="false">'Check-in &amp; QR'!C6</f>
        <v>0</v>
      </c>
      <c r="F14" s="87" t="n">
        <f aca="false">'Check-in &amp; QR'!D6</f>
        <v>0</v>
      </c>
      <c r="G14" s="87" t="n">
        <f aca="false">'Check-in &amp; QR'!E6</f>
        <v>0</v>
      </c>
      <c r="H14" s="88" t="n">
        <f aca="false">'Check-in &amp; QR'!B4</f>
        <v>6</v>
      </c>
    </row>
    <row r="15" customFormat="false" ht="12.75" hidden="false" customHeight="true" outlineLevel="0" collapsed="false">
      <c r="A15" s="79"/>
      <c r="B15" s="85"/>
      <c r="C15" s="86"/>
      <c r="D15" s="87"/>
      <c r="E15" s="87"/>
      <c r="F15" s="87"/>
      <c r="G15" s="89"/>
      <c r="H15" s="88"/>
    </row>
    <row r="16" customFormat="false" ht="12.75" hidden="false" customHeight="true" outlineLevel="0" collapsed="false">
      <c r="A16" s="79"/>
      <c r="B16" s="90"/>
      <c r="C16" s="91" t="s">
        <v>46</v>
      </c>
      <c r="D16" s="92" t="n">
        <f aca="false">SUM(D11:D15)</f>
        <v>29</v>
      </c>
      <c r="E16" s="92" t="n">
        <f aca="false">SUM(E11:E15)</f>
        <v>0</v>
      </c>
      <c r="F16" s="92" t="n">
        <f aca="false">SUM(F11:F15)</f>
        <v>0</v>
      </c>
      <c r="G16" s="92" t="n">
        <f aca="false">SUM(G11:G15)</f>
        <v>0</v>
      </c>
      <c r="H16" s="93" t="n">
        <f aca="false">SUM(H11:H15)</f>
        <v>35</v>
      </c>
    </row>
    <row r="17" customFormat="false" ht="12.75" hidden="false" customHeight="true" outlineLevel="0" collapsed="false">
      <c r="B17" s="94"/>
      <c r="D17" s="95"/>
      <c r="E17" s="96"/>
      <c r="F17" s="96"/>
      <c r="G17" s="96"/>
      <c r="H17" s="96"/>
    </row>
    <row r="18" customFormat="false" ht="12.75" hidden="false" customHeight="true" outlineLevel="0" collapsed="false">
      <c r="C18" s="97" t="s">
        <v>47</v>
      </c>
      <c r="E18" s="98" t="n">
        <f aca="false">(D16+E16)*100/(H16-G16)</f>
        <v>82.8571428571429</v>
      </c>
      <c r="F18" s="8" t="s">
        <v>48</v>
      </c>
      <c r="H18" s="99"/>
    </row>
    <row r="19" customFormat="false" ht="12.75" hidden="false" customHeight="true" outlineLevel="0" collapsed="false">
      <c r="C19" s="97" t="s">
        <v>49</v>
      </c>
      <c r="E19" s="98" t="n">
        <f aca="false">D16*100/(H16-G16)</f>
        <v>82.8571428571429</v>
      </c>
      <c r="F19" s="8" t="s">
        <v>48</v>
      </c>
      <c r="H19" s="99"/>
    </row>
  </sheetData>
  <mergeCells count="8">
    <mergeCell ref="B1:H1"/>
    <mergeCell ref="C3:D3"/>
    <mergeCell ref="E3:F3"/>
    <mergeCell ref="C4:D4"/>
    <mergeCell ref="E4:F4"/>
    <mergeCell ref="C5:D5"/>
    <mergeCell ref="E5:F5"/>
    <mergeCell ref="C6:H6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&amp;L&amp;"Tahoma,Regular"&amp;8 02ae-BM/PM/HDCV/FSOFT v2/0&amp;C&amp;"tahoma,Regular"&amp;8 Internal use&amp;R&amp;"Tahoma,Regular"&amp;8 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R22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10" topLeftCell="A11" activePane="bottomLeft" state="frozen"/>
      <selection pane="topLeft" activeCell="A1" activeCellId="0" sqref="A1"/>
      <selection pane="bottomLeft" activeCell="A18" activeCellId="0" sqref="A18"/>
    </sheetView>
  </sheetViews>
  <sheetFormatPr defaultColWidth="9" defaultRowHeight="12.75" customHeight="false" zeroHeight="false" outlineLevelRow="1" outlineLevelCol="1"/>
  <cols>
    <col collapsed="false" customWidth="true" hidden="false" outlineLevel="0" max="1" min="1" style="8" width="17"/>
    <col collapsed="false" customWidth="true" hidden="false" outlineLevel="0" max="2" min="2" style="8" width="34.44"/>
    <col collapsed="false" customWidth="true" hidden="false" outlineLevel="0" max="3" min="3" style="8" width="34.11"/>
    <col collapsed="false" customWidth="true" hidden="false" outlineLevel="0" max="4" min="4" style="8" width="34.66"/>
    <col collapsed="false" customWidth="true" hidden="false" outlineLevel="0" max="5" min="5" style="8" width="28.33"/>
    <col collapsed="false" customWidth="true" hidden="false" outlineLevel="0" max="6" min="6" style="8" width="9.33"/>
    <col collapsed="false" customWidth="true" hidden="false" outlineLevel="1" max="7" min="7" style="8" width="10.66"/>
    <col collapsed="false" customWidth="true" hidden="false" outlineLevel="1" max="8" min="8" style="8" width="7"/>
    <col collapsed="false" customWidth="true" hidden="false" outlineLevel="0" max="9" min="9" style="8" width="9.33"/>
    <col collapsed="false" customWidth="true" hidden="false" outlineLevel="1" max="10" min="10" style="8" width="10.66"/>
    <col collapsed="false" customWidth="true" hidden="false" outlineLevel="1" max="11" min="11" style="8" width="7"/>
    <col collapsed="false" customWidth="true" hidden="false" outlineLevel="0" max="12" min="12" style="8" width="9.33"/>
    <col collapsed="false" customWidth="true" hidden="false" outlineLevel="1" max="13" min="13" style="8" width="10.66"/>
    <col collapsed="false" customWidth="true" hidden="false" outlineLevel="1" max="14" min="14" style="8" width="7"/>
    <col collapsed="false" customWidth="true" hidden="false" outlineLevel="0" max="15" min="15" style="8" width="28.66"/>
    <col collapsed="false" customWidth="true" hidden="false" outlineLevel="0" max="16" min="16" style="8" width="10.11"/>
    <col collapsed="false" customWidth="true" hidden="false" outlineLevel="0" max="17" min="17" style="100" width="8.11"/>
    <col collapsed="false" customWidth="true" hidden="true" outlineLevel="0" max="18" min="18" style="8" width="7.67"/>
    <col collapsed="false" customWidth="false" hidden="false" outlineLevel="0" max="16384" min="19" style="8" width="9"/>
  </cols>
  <sheetData>
    <row r="1" customFormat="false" ht="13.5" hidden="false" customHeight="true" outlineLevel="0" collapsed="false"/>
    <row r="2" s="106" customFormat="true" ht="15" hidden="false" customHeight="true" outlineLevel="0" collapsed="false">
      <c r="A2" s="101" t="s">
        <v>50</v>
      </c>
      <c r="B2" s="102" t="s">
        <v>51</v>
      </c>
      <c r="C2" s="102"/>
      <c r="D2" s="102"/>
      <c r="E2" s="102"/>
      <c r="F2" s="103"/>
      <c r="G2" s="104"/>
      <c r="H2" s="45"/>
      <c r="I2" s="103"/>
      <c r="J2" s="104"/>
      <c r="K2" s="45"/>
      <c r="L2" s="103"/>
      <c r="M2" s="104"/>
      <c r="N2" s="45"/>
      <c r="O2" s="45"/>
      <c r="P2" s="45"/>
      <c r="Q2" s="105"/>
      <c r="R2" s="106" t="s">
        <v>41</v>
      </c>
    </row>
    <row r="3" s="106" customFormat="true" ht="26.25" hidden="false" customHeight="true" outlineLevel="0" collapsed="false">
      <c r="A3" s="107" t="s">
        <v>52</v>
      </c>
      <c r="B3" s="108" t="s">
        <v>53</v>
      </c>
      <c r="C3" s="108"/>
      <c r="D3" s="108"/>
      <c r="E3" s="108"/>
      <c r="F3" s="103"/>
      <c r="G3" s="104"/>
      <c r="H3" s="45"/>
      <c r="I3" s="103"/>
      <c r="J3" s="104"/>
      <c r="K3" s="45"/>
      <c r="L3" s="103"/>
      <c r="M3" s="104"/>
      <c r="N3" s="45"/>
      <c r="O3" s="45"/>
      <c r="P3" s="45"/>
      <c r="Q3" s="105"/>
      <c r="R3" s="106" t="s">
        <v>42</v>
      </c>
    </row>
    <row r="4" s="106" customFormat="true" ht="18" hidden="false" customHeight="true" outlineLevel="0" collapsed="false">
      <c r="A4" s="107" t="s">
        <v>54</v>
      </c>
      <c r="B4" s="108" t="n">
        <f aca="false">COUNTA(A12:A1000)</f>
        <v>11</v>
      </c>
      <c r="C4" s="108"/>
      <c r="D4" s="108"/>
      <c r="E4" s="108"/>
      <c r="F4" s="103"/>
      <c r="G4" s="104"/>
      <c r="H4" s="45"/>
      <c r="I4" s="103"/>
      <c r="J4" s="104"/>
      <c r="K4" s="45"/>
      <c r="L4" s="103"/>
      <c r="M4" s="104"/>
      <c r="N4" s="45"/>
      <c r="O4" s="45"/>
      <c r="P4" s="45"/>
      <c r="Q4" s="105"/>
      <c r="R4" s="106" t="s">
        <v>43</v>
      </c>
    </row>
    <row r="5" s="106" customFormat="true" ht="19.5" hidden="false" customHeight="true" outlineLevel="0" collapsed="false">
      <c r="A5" s="109" t="s">
        <v>55</v>
      </c>
      <c r="B5" s="110" t="s">
        <v>41</v>
      </c>
      <c r="C5" s="110" t="s">
        <v>42</v>
      </c>
      <c r="D5" s="110" t="s">
        <v>43</v>
      </c>
      <c r="E5" s="111" t="s">
        <v>44</v>
      </c>
      <c r="F5" s="112"/>
      <c r="G5" s="112"/>
      <c r="H5" s="113"/>
      <c r="I5" s="112"/>
      <c r="J5" s="112"/>
      <c r="K5" s="113"/>
      <c r="L5" s="112"/>
      <c r="M5" s="112"/>
      <c r="N5" s="113"/>
      <c r="O5" s="113"/>
      <c r="P5" s="113"/>
      <c r="Q5" s="114"/>
      <c r="R5" s="106" t="s">
        <v>44</v>
      </c>
    </row>
    <row r="6" s="106" customFormat="true" ht="15" hidden="false" customHeight="true" outlineLevel="0" collapsed="false">
      <c r="A6" s="109" t="s">
        <v>56</v>
      </c>
      <c r="B6" s="115" t="n">
        <f aca="false">COUNTIF($F10:$F998,B5)</f>
        <v>9</v>
      </c>
      <c r="C6" s="115" t="n">
        <f aca="false">COUNTIF($F10:$F998,C5)</f>
        <v>0</v>
      </c>
      <c r="D6" s="115" t="n">
        <f aca="false">COUNTIF($F10:$F998,D5)</f>
        <v>0</v>
      </c>
      <c r="E6" s="116" t="n">
        <f aca="false">COUNTIF($F10:$F998,E5)</f>
        <v>0</v>
      </c>
      <c r="F6" s="117"/>
      <c r="G6" s="117"/>
      <c r="H6" s="113"/>
      <c r="I6" s="117"/>
      <c r="J6" s="117"/>
      <c r="K6" s="113"/>
      <c r="L6" s="117"/>
      <c r="M6" s="117"/>
      <c r="N6" s="113"/>
      <c r="O6" s="113"/>
      <c r="P6" s="113"/>
      <c r="Q6" s="114"/>
    </row>
    <row r="7" s="106" customFormat="true" ht="15" hidden="false" customHeight="true" outlineLevel="0" collapsed="false">
      <c r="A7" s="109" t="s">
        <v>57</v>
      </c>
      <c r="B7" s="115" t="n">
        <f aca="false">COUNTIF($F10:$F998,B5)</f>
        <v>9</v>
      </c>
      <c r="C7" s="115" t="n">
        <f aca="false">COUNTIF($F10:$F998,C5)</f>
        <v>0</v>
      </c>
      <c r="D7" s="115" t="n">
        <f aca="false">COUNTIF($F10:$F998,D5)</f>
        <v>0</v>
      </c>
      <c r="E7" s="116" t="n">
        <f aca="false">COUNTIF($F10:$F998,E5)</f>
        <v>0</v>
      </c>
      <c r="F7" s="117"/>
      <c r="G7" s="117"/>
      <c r="H7" s="113"/>
      <c r="I7" s="117"/>
      <c r="J7" s="117"/>
      <c r="K7" s="113"/>
      <c r="L7" s="117"/>
      <c r="M7" s="117"/>
      <c r="N7" s="113"/>
      <c r="O7" s="113"/>
      <c r="P7" s="113"/>
      <c r="Q7" s="114"/>
    </row>
    <row r="8" s="106" customFormat="true" ht="15" hidden="false" customHeight="true" outlineLevel="0" collapsed="false">
      <c r="A8" s="118" t="s">
        <v>58</v>
      </c>
      <c r="B8" s="119" t="n">
        <f aca="false">COUNTIF($F10:$F998,B5)</f>
        <v>9</v>
      </c>
      <c r="C8" s="119" t="n">
        <f aca="false">COUNTIF($F10:$F998,C5)</f>
        <v>0</v>
      </c>
      <c r="D8" s="119" t="n">
        <f aca="false">COUNTIF($F10:$F998,D5)</f>
        <v>0</v>
      </c>
      <c r="E8" s="120" t="n">
        <f aca="false">COUNTIF($F10:$F998,E5)</f>
        <v>0</v>
      </c>
      <c r="F8" s="117"/>
      <c r="G8" s="117"/>
      <c r="H8" s="113"/>
      <c r="I8" s="117"/>
      <c r="J8" s="117"/>
      <c r="K8" s="113"/>
      <c r="L8" s="117"/>
      <c r="M8" s="117"/>
      <c r="N8" s="113"/>
      <c r="O8" s="113"/>
      <c r="P8" s="113"/>
      <c r="Q8" s="114"/>
    </row>
    <row r="9" s="106" customFormat="true" ht="15" hidden="false" customHeight="true" outlineLevel="0" collapsed="false">
      <c r="A9" s="113"/>
      <c r="B9" s="113"/>
      <c r="C9" s="113"/>
      <c r="D9" s="113"/>
      <c r="E9" s="113"/>
      <c r="F9" s="99"/>
      <c r="G9" s="113"/>
      <c r="H9" s="113"/>
      <c r="I9" s="99"/>
      <c r="J9" s="113"/>
      <c r="K9" s="113"/>
      <c r="L9" s="99"/>
      <c r="M9" s="113"/>
      <c r="N9" s="113"/>
      <c r="O9" s="113"/>
      <c r="P9" s="113"/>
      <c r="Q9" s="114"/>
    </row>
    <row r="10" s="106" customFormat="true" ht="25.5" hidden="false" customHeight="true" outlineLevel="0" collapsed="false">
      <c r="A10" s="121" t="s">
        <v>59</v>
      </c>
      <c r="B10" s="121" t="s">
        <v>60</v>
      </c>
      <c r="C10" s="121" t="s">
        <v>61</v>
      </c>
      <c r="D10" s="121" t="s">
        <v>62</v>
      </c>
      <c r="E10" s="121" t="s">
        <v>63</v>
      </c>
      <c r="F10" s="121" t="s">
        <v>56</v>
      </c>
      <c r="G10" s="121" t="s">
        <v>64</v>
      </c>
      <c r="H10" s="121" t="s">
        <v>65</v>
      </c>
      <c r="I10" s="121" t="s">
        <v>57</v>
      </c>
      <c r="J10" s="121" t="s">
        <v>64</v>
      </c>
      <c r="K10" s="121" t="s">
        <v>65</v>
      </c>
      <c r="L10" s="121" t="s">
        <v>58</v>
      </c>
      <c r="M10" s="121" t="s">
        <v>64</v>
      </c>
      <c r="N10" s="121" t="s">
        <v>65</v>
      </c>
      <c r="O10" s="121" t="s">
        <v>66</v>
      </c>
      <c r="Q10" s="122"/>
    </row>
    <row r="11" s="106" customFormat="true" ht="15.75" hidden="false" customHeight="true" outlineLevel="0" collapsed="false">
      <c r="A11" s="106" t="s">
        <v>67</v>
      </c>
    </row>
    <row r="12" s="123" customFormat="true" ht="120.75" hidden="false" customHeight="true" outlineLevel="1" collapsed="false">
      <c r="A12" s="123" t="s">
        <v>68</v>
      </c>
      <c r="B12" s="123" t="s">
        <v>69</v>
      </c>
      <c r="C12" s="124" t="s">
        <v>70</v>
      </c>
      <c r="D12" s="123" t="s">
        <v>71</v>
      </c>
      <c r="E12" s="123" t="s">
        <v>14</v>
      </c>
      <c r="F12" s="123" t="s">
        <v>41</v>
      </c>
      <c r="G12" s="125" t="n">
        <v>46175</v>
      </c>
      <c r="H12" s="123" t="s">
        <v>72</v>
      </c>
      <c r="I12" s="123" t="s">
        <v>41</v>
      </c>
      <c r="J12" s="125" t="n">
        <v>46197</v>
      </c>
      <c r="K12" s="123" t="s">
        <v>72</v>
      </c>
      <c r="L12" s="123" t="s">
        <v>41</v>
      </c>
      <c r="M12" s="125" t="n">
        <v>46197</v>
      </c>
      <c r="N12" s="123" t="s">
        <v>73</v>
      </c>
    </row>
    <row r="13" customFormat="false" ht="34.5" hidden="false" customHeight="true" outlineLevel="1" collapsed="false">
      <c r="A13" s="8" t="s">
        <v>74</v>
      </c>
      <c r="B13" s="8" t="s">
        <v>75</v>
      </c>
      <c r="C13" s="45" t="s">
        <v>76</v>
      </c>
      <c r="D13" s="8" t="s">
        <v>77</v>
      </c>
      <c r="E13" s="8" t="s">
        <v>78</v>
      </c>
      <c r="F13" s="8" t="s">
        <v>41</v>
      </c>
      <c r="G13" s="125" t="n">
        <v>46177</v>
      </c>
      <c r="H13" s="8" t="s">
        <v>73</v>
      </c>
      <c r="I13" s="8" t="s">
        <v>41</v>
      </c>
      <c r="J13" s="125" t="n">
        <v>46199</v>
      </c>
      <c r="K13" s="8" t="s">
        <v>73</v>
      </c>
      <c r="L13" s="8" t="s">
        <v>41</v>
      </c>
      <c r="M13" s="125" t="n">
        <v>46199</v>
      </c>
      <c r="N13" s="8" t="s">
        <v>79</v>
      </c>
    </row>
    <row r="14" customFormat="false" ht="23.25" hidden="false" customHeight="true" outlineLevel="1" collapsed="false">
      <c r="A14" s="8" t="s">
        <v>80</v>
      </c>
      <c r="B14" s="8" t="s">
        <v>81</v>
      </c>
      <c r="C14" s="45" t="s">
        <v>82</v>
      </c>
      <c r="D14" s="8" t="s">
        <v>83</v>
      </c>
      <c r="E14" s="8" t="s">
        <v>14</v>
      </c>
      <c r="F14" s="8" t="s">
        <v>41</v>
      </c>
      <c r="G14" s="125" t="n">
        <v>46181</v>
      </c>
      <c r="H14" s="8" t="s">
        <v>79</v>
      </c>
      <c r="I14" s="8" t="s">
        <v>41</v>
      </c>
      <c r="J14" s="125" t="n">
        <v>46202</v>
      </c>
      <c r="K14" s="8" t="s">
        <v>79</v>
      </c>
      <c r="L14" s="8" t="s">
        <v>41</v>
      </c>
      <c r="M14" s="125" t="n">
        <v>46202</v>
      </c>
      <c r="N14" s="8" t="s">
        <v>72</v>
      </c>
    </row>
    <row r="15" s="106" customFormat="true" ht="15.75" hidden="false" customHeight="true" outlineLevel="0" collapsed="false">
      <c r="A15" s="106" t="s">
        <v>84</v>
      </c>
    </row>
    <row r="16" customFormat="false" ht="34.5" hidden="false" customHeight="true" outlineLevel="1" collapsed="false">
      <c r="A16" s="8" t="s">
        <v>85</v>
      </c>
      <c r="B16" s="8" t="s">
        <v>86</v>
      </c>
      <c r="C16" s="45" t="s">
        <v>87</v>
      </c>
      <c r="D16" s="8" t="s">
        <v>88</v>
      </c>
      <c r="E16" s="8" t="s">
        <v>89</v>
      </c>
      <c r="F16" s="8" t="s">
        <v>41</v>
      </c>
      <c r="G16" s="125" t="n">
        <v>46183</v>
      </c>
      <c r="H16" s="8" t="s">
        <v>72</v>
      </c>
      <c r="I16" s="8" t="s">
        <v>41</v>
      </c>
      <c r="J16" s="125" t="n">
        <v>46204</v>
      </c>
      <c r="K16" s="8" t="s">
        <v>72</v>
      </c>
      <c r="L16" s="8" t="s">
        <v>41</v>
      </c>
      <c r="M16" s="125" t="n">
        <v>46204</v>
      </c>
      <c r="N16" s="8" t="s">
        <v>73</v>
      </c>
    </row>
    <row r="17" customFormat="false" ht="23.25" hidden="false" customHeight="true" outlineLevel="1" collapsed="false">
      <c r="A17" s="8" t="s">
        <v>90</v>
      </c>
      <c r="B17" s="8" t="s">
        <v>91</v>
      </c>
      <c r="C17" s="45" t="s">
        <v>92</v>
      </c>
      <c r="D17" s="8" t="s">
        <v>93</v>
      </c>
      <c r="E17" s="8" t="s">
        <v>14</v>
      </c>
      <c r="F17" s="8" t="s">
        <v>41</v>
      </c>
      <c r="G17" s="125" t="n">
        <v>46185</v>
      </c>
      <c r="H17" s="8" t="s">
        <v>73</v>
      </c>
      <c r="I17" s="8" t="s">
        <v>41</v>
      </c>
      <c r="J17" s="125" t="n">
        <v>46206</v>
      </c>
      <c r="K17" s="8" t="s">
        <v>73</v>
      </c>
      <c r="L17" s="8" t="s">
        <v>41</v>
      </c>
      <c r="M17" s="125" t="n">
        <v>46206</v>
      </c>
      <c r="N17" s="8" t="s">
        <v>79</v>
      </c>
    </row>
    <row r="18" s="106" customFormat="true" ht="15.75" hidden="false" customHeight="true" outlineLevel="0" collapsed="false">
      <c r="A18" s="106" t="s">
        <v>94</v>
      </c>
      <c r="B18" s="106" t="s">
        <v>95</v>
      </c>
      <c r="C18" s="126" t="s">
        <v>96</v>
      </c>
      <c r="D18" s="106" t="s">
        <v>97</v>
      </c>
      <c r="E18" s="106" t="s">
        <v>98</v>
      </c>
      <c r="F18" s="106" t="s">
        <v>41</v>
      </c>
      <c r="G18" s="125" t="n">
        <v>46188</v>
      </c>
      <c r="H18" s="106" t="s">
        <v>79</v>
      </c>
      <c r="I18" s="106" t="s">
        <v>41</v>
      </c>
      <c r="J18" s="125" t="n">
        <v>46209</v>
      </c>
      <c r="K18" s="106" t="s">
        <v>79</v>
      </c>
      <c r="L18" s="106" t="s">
        <v>41</v>
      </c>
      <c r="M18" s="125" t="n">
        <v>46209</v>
      </c>
      <c r="N18" s="106" t="s">
        <v>72</v>
      </c>
    </row>
    <row r="19" customFormat="false" ht="23.25" hidden="false" customHeight="true" outlineLevel="1" collapsed="false">
      <c r="A19" s="8" t="s">
        <v>99</v>
      </c>
      <c r="B19" s="8" t="s">
        <v>100</v>
      </c>
      <c r="C19" s="45" t="s">
        <v>101</v>
      </c>
      <c r="D19" s="8" t="s">
        <v>102</v>
      </c>
      <c r="E19" s="8" t="s">
        <v>14</v>
      </c>
      <c r="F19" s="8" t="s">
        <v>41</v>
      </c>
      <c r="G19" s="125" t="n">
        <v>46190</v>
      </c>
      <c r="H19" s="8" t="s">
        <v>72</v>
      </c>
      <c r="I19" s="8" t="s">
        <v>41</v>
      </c>
      <c r="J19" s="125" t="n">
        <v>46211</v>
      </c>
      <c r="K19" s="8" t="s">
        <v>72</v>
      </c>
      <c r="L19" s="8" t="s">
        <v>41</v>
      </c>
      <c r="M19" s="125" t="n">
        <v>46211</v>
      </c>
      <c r="N19" s="8" t="s">
        <v>73</v>
      </c>
    </row>
    <row r="20" customFormat="false" ht="12.75" hidden="false" customHeight="true" outlineLevel="0" collapsed="false">
      <c r="A20" s="8" t="s">
        <v>103</v>
      </c>
    </row>
    <row r="21" customFormat="false" ht="34.5" hidden="false" customHeight="true" outlineLevel="0" collapsed="false">
      <c r="A21" s="8" t="s">
        <v>104</v>
      </c>
      <c r="B21" s="8" t="s">
        <v>105</v>
      </c>
      <c r="C21" s="45" t="s">
        <v>106</v>
      </c>
      <c r="D21" s="8" t="s">
        <v>107</v>
      </c>
      <c r="E21" s="8" t="s">
        <v>108</v>
      </c>
      <c r="F21" s="8" t="s">
        <v>41</v>
      </c>
      <c r="G21" s="125" t="n">
        <v>46192</v>
      </c>
      <c r="H21" s="8" t="s">
        <v>73</v>
      </c>
      <c r="I21" s="8" t="s">
        <v>41</v>
      </c>
      <c r="J21" s="125" t="n">
        <v>46213</v>
      </c>
      <c r="K21" s="8" t="s">
        <v>73</v>
      </c>
      <c r="L21" s="8" t="s">
        <v>41</v>
      </c>
      <c r="M21" s="125" t="n">
        <v>46213</v>
      </c>
      <c r="N21" s="8" t="s">
        <v>79</v>
      </c>
    </row>
    <row r="22" customFormat="false" ht="23.25" hidden="false" customHeight="true" outlineLevel="0" collapsed="false">
      <c r="A22" s="8" t="s">
        <v>109</v>
      </c>
      <c r="B22" s="8" t="s">
        <v>110</v>
      </c>
      <c r="C22" s="45" t="s">
        <v>111</v>
      </c>
      <c r="D22" s="8" t="s">
        <v>112</v>
      </c>
      <c r="E22" s="8" t="s">
        <v>113</v>
      </c>
      <c r="F22" s="8" t="s">
        <v>41</v>
      </c>
      <c r="G22" s="125" t="n">
        <v>46175</v>
      </c>
      <c r="H22" s="8" t="s">
        <v>79</v>
      </c>
      <c r="I22" s="8" t="s">
        <v>42</v>
      </c>
      <c r="J22" s="125" t="n">
        <v>46197</v>
      </c>
      <c r="K22" s="8" t="s">
        <v>79</v>
      </c>
      <c r="L22" s="8" t="s">
        <v>42</v>
      </c>
      <c r="M22" s="125" t="n">
        <v>46197</v>
      </c>
      <c r="N22" s="8" t="s">
        <v>72</v>
      </c>
    </row>
  </sheetData>
  <mergeCells count="3">
    <mergeCell ref="B2:E2"/>
    <mergeCell ref="B3:E3"/>
    <mergeCell ref="B4:E4"/>
  </mergeCells>
  <dataValidations count="2">
    <dataValidation allowBlank="true" errorStyle="stop" operator="between" showDropDown="false" showErrorMessage="true" showInputMessage="false" sqref="G2:G3 J2:J3 M2:M3 G9 J9 M9 F12:F19 I12:I19 L12:L19 G20:G147 J20:J147 M20:M147" type="list">
      <formula1>$R$2:$R$5</formula1>
      <formula2>0</formula2>
    </dataValidation>
    <dataValidation allowBlank="true" errorStyle="stop" operator="between" showDropDown="false" showErrorMessage="true" showInputMessage="false" sqref="F10 I10 L10" type="none">
      <formula1>0</formula1>
      <formula2>0</formula2>
    </dataValidation>
  </dataValidations>
  <printOptions headings="false" gridLines="false" gridLinesSet="true" horizontalCentered="false" verticalCentered="false"/>
  <pageMargins left="0.747916666666667" right="0.25" top="0.75" bottom="0.984027777777778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&amp;LFacilitate_Test Case\Company&amp;Rv1.0</oddHeader>
    <oddFooter>&amp;L&amp;"Tahoma,Regular"&amp;8 02ae-BM/PM/HDCV/FSOFT v2/0&amp;C&amp;"Tahoma,Regular"&amp;10 Internal use&amp;R&amp;"Tahoma,Regular"&amp;8 &amp;P/&amp;N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R2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0" topLeftCell="A11" activePane="bottomLeft" state="frozen"/>
      <selection pane="topLeft" activeCell="A1" activeCellId="0" sqref="A1"/>
      <selection pane="bottomLeft" activeCell="D12" activeCellId="0" sqref="D12"/>
    </sheetView>
  </sheetViews>
  <sheetFormatPr defaultColWidth="9" defaultRowHeight="12.75" customHeight="false" zeroHeight="false" outlineLevelRow="1" outlineLevelCol="1"/>
  <cols>
    <col collapsed="false" customWidth="true" hidden="false" outlineLevel="0" max="1" min="1" style="8" width="17"/>
    <col collapsed="false" customWidth="true" hidden="false" outlineLevel="0" max="2" min="2" style="8" width="34.44"/>
    <col collapsed="false" customWidth="true" hidden="false" outlineLevel="0" max="3" min="3" style="8" width="33.33"/>
    <col collapsed="false" customWidth="true" hidden="false" outlineLevel="0" max="4" min="4" style="8" width="34.66"/>
    <col collapsed="false" customWidth="true" hidden="false" outlineLevel="0" max="5" min="5" style="8" width="28.33"/>
    <col collapsed="false" customWidth="true" hidden="false" outlineLevel="0" max="6" min="6" style="8" width="9.33"/>
    <col collapsed="false" customWidth="true" hidden="false" outlineLevel="1" max="7" min="7" style="8" width="10.66"/>
    <col collapsed="false" customWidth="true" hidden="false" outlineLevel="1" max="8" min="8" style="8" width="7"/>
    <col collapsed="false" customWidth="true" hidden="false" outlineLevel="0" max="9" min="9" style="8" width="9.33"/>
    <col collapsed="false" customWidth="true" hidden="false" outlineLevel="1" max="10" min="10" style="8" width="10.66"/>
    <col collapsed="false" customWidth="true" hidden="false" outlineLevel="1" max="11" min="11" style="8" width="7"/>
    <col collapsed="false" customWidth="true" hidden="false" outlineLevel="0" max="12" min="12" style="8" width="9.33"/>
    <col collapsed="false" customWidth="true" hidden="false" outlineLevel="1" max="13" min="13" style="8" width="10.66"/>
    <col collapsed="false" customWidth="true" hidden="false" outlineLevel="1" max="14" min="14" style="8" width="7"/>
    <col collapsed="false" customWidth="true" hidden="false" outlineLevel="0" max="15" min="15" style="8" width="28.66"/>
    <col collapsed="false" customWidth="true" hidden="false" outlineLevel="0" max="16" min="16" style="8" width="10.11"/>
    <col collapsed="false" customWidth="true" hidden="false" outlineLevel="0" max="17" min="17" style="100" width="8.11"/>
    <col collapsed="false" customWidth="true" hidden="true" outlineLevel="0" max="18" min="18" style="8" width="7.67"/>
    <col collapsed="false" customWidth="false" hidden="false" outlineLevel="0" max="16384" min="19" style="8" width="9"/>
  </cols>
  <sheetData>
    <row r="1" customFormat="false" ht="13.5" hidden="false" customHeight="true" outlineLevel="0" collapsed="false"/>
    <row r="2" s="106" customFormat="true" ht="15" hidden="false" customHeight="true" outlineLevel="0" collapsed="false">
      <c r="A2" s="101" t="s">
        <v>50</v>
      </c>
      <c r="B2" s="102" t="s">
        <v>114</v>
      </c>
      <c r="C2" s="102"/>
      <c r="D2" s="102"/>
      <c r="E2" s="102"/>
      <c r="F2" s="103"/>
      <c r="G2" s="104"/>
      <c r="H2" s="45"/>
      <c r="I2" s="103"/>
      <c r="J2" s="104"/>
      <c r="K2" s="45"/>
      <c r="L2" s="103"/>
      <c r="M2" s="104"/>
      <c r="N2" s="45"/>
      <c r="O2" s="45"/>
      <c r="P2" s="45"/>
      <c r="Q2" s="105"/>
      <c r="R2" s="106" t="s">
        <v>41</v>
      </c>
    </row>
    <row r="3" s="106" customFormat="true" ht="26.25" hidden="false" customHeight="true" outlineLevel="0" collapsed="false">
      <c r="A3" s="107" t="s">
        <v>52</v>
      </c>
      <c r="B3" s="108" t="s">
        <v>115</v>
      </c>
      <c r="C3" s="108"/>
      <c r="D3" s="108"/>
      <c r="E3" s="108"/>
      <c r="F3" s="103"/>
      <c r="G3" s="104"/>
      <c r="H3" s="45"/>
      <c r="I3" s="103"/>
      <c r="J3" s="104"/>
      <c r="K3" s="45"/>
      <c r="L3" s="103"/>
      <c r="M3" s="104"/>
      <c r="N3" s="45"/>
      <c r="O3" s="45"/>
      <c r="P3" s="45"/>
      <c r="Q3" s="105"/>
      <c r="R3" s="106" t="s">
        <v>42</v>
      </c>
    </row>
    <row r="4" s="106" customFormat="true" ht="18" hidden="false" customHeight="true" outlineLevel="0" collapsed="false">
      <c r="A4" s="107" t="s">
        <v>54</v>
      </c>
      <c r="B4" s="108" t="n">
        <f aca="false">COUNTA(A12:A998)</f>
        <v>10</v>
      </c>
      <c r="C4" s="108"/>
      <c r="D4" s="108"/>
      <c r="E4" s="108"/>
      <c r="F4" s="103"/>
      <c r="G4" s="104"/>
      <c r="H4" s="45"/>
      <c r="I4" s="103"/>
      <c r="J4" s="104"/>
      <c r="K4" s="45"/>
      <c r="L4" s="103"/>
      <c r="M4" s="104"/>
      <c r="N4" s="45"/>
      <c r="O4" s="45"/>
      <c r="P4" s="45"/>
      <c r="Q4" s="105"/>
      <c r="R4" s="106" t="s">
        <v>43</v>
      </c>
    </row>
    <row r="5" s="106" customFormat="true" ht="19.5" hidden="false" customHeight="true" outlineLevel="0" collapsed="false">
      <c r="A5" s="109" t="s">
        <v>55</v>
      </c>
      <c r="B5" s="110" t="s">
        <v>41</v>
      </c>
      <c r="C5" s="110" t="s">
        <v>42</v>
      </c>
      <c r="D5" s="110" t="s">
        <v>43</v>
      </c>
      <c r="E5" s="111" t="s">
        <v>44</v>
      </c>
      <c r="F5" s="112"/>
      <c r="G5" s="112"/>
      <c r="H5" s="113"/>
      <c r="I5" s="112"/>
      <c r="J5" s="112"/>
      <c r="K5" s="113"/>
      <c r="L5" s="112"/>
      <c r="M5" s="112"/>
      <c r="N5" s="113"/>
      <c r="O5" s="113"/>
      <c r="P5" s="113"/>
      <c r="Q5" s="114"/>
      <c r="R5" s="106" t="s">
        <v>44</v>
      </c>
    </row>
    <row r="6" s="106" customFormat="true" ht="15" hidden="false" customHeight="true" outlineLevel="0" collapsed="false">
      <c r="A6" s="109" t="s">
        <v>56</v>
      </c>
      <c r="B6" s="115" t="n">
        <f aca="false">COUNTIF($F10:$F996,B5)</f>
        <v>8</v>
      </c>
      <c r="C6" s="115" t="n">
        <f aca="false">COUNTIF($F10:$F996,C5)</f>
        <v>0</v>
      </c>
      <c r="D6" s="115" t="n">
        <f aca="false">COUNTIF($F10:$F996,D5)</f>
        <v>0</v>
      </c>
      <c r="E6" s="116" t="n">
        <f aca="false">COUNTIF($F10:$F996,E5)</f>
        <v>0</v>
      </c>
      <c r="F6" s="117"/>
      <c r="G6" s="117"/>
      <c r="H6" s="113"/>
      <c r="I6" s="117"/>
      <c r="J6" s="117"/>
      <c r="K6" s="113"/>
      <c r="L6" s="117"/>
      <c r="M6" s="117"/>
      <c r="N6" s="113"/>
      <c r="O6" s="113"/>
      <c r="P6" s="113"/>
      <c r="Q6" s="114"/>
    </row>
    <row r="7" s="106" customFormat="true" ht="15" hidden="false" customHeight="true" outlineLevel="0" collapsed="false">
      <c r="A7" s="109" t="s">
        <v>57</v>
      </c>
      <c r="B7" s="115" t="n">
        <f aca="false">COUNTIF($F10:$F996,B5)</f>
        <v>8</v>
      </c>
      <c r="C7" s="115" t="n">
        <f aca="false">COUNTIF($F10:$F996,C5)</f>
        <v>0</v>
      </c>
      <c r="D7" s="115" t="n">
        <f aca="false">COUNTIF($F10:$F996,D5)</f>
        <v>0</v>
      </c>
      <c r="E7" s="116" t="n">
        <f aca="false">COUNTIF($F10:$F996,E5)</f>
        <v>0</v>
      </c>
      <c r="F7" s="117"/>
      <c r="G7" s="117"/>
      <c r="H7" s="113"/>
      <c r="I7" s="117"/>
      <c r="J7" s="117"/>
      <c r="K7" s="113"/>
      <c r="L7" s="117"/>
      <c r="M7" s="117"/>
      <c r="N7" s="113"/>
      <c r="O7" s="113"/>
      <c r="P7" s="113"/>
      <c r="Q7" s="114"/>
    </row>
    <row r="8" s="106" customFormat="true" ht="15" hidden="false" customHeight="true" outlineLevel="0" collapsed="false">
      <c r="A8" s="118" t="s">
        <v>58</v>
      </c>
      <c r="B8" s="119" t="n">
        <f aca="false">COUNTIF($F10:$F996,B5)</f>
        <v>8</v>
      </c>
      <c r="C8" s="119" t="n">
        <f aca="false">COUNTIF($F10:$F996,C5)</f>
        <v>0</v>
      </c>
      <c r="D8" s="119" t="n">
        <f aca="false">COUNTIF($F10:$F996,D5)</f>
        <v>0</v>
      </c>
      <c r="E8" s="120" t="n">
        <f aca="false">COUNTIF($F10:$F996,E5)</f>
        <v>0</v>
      </c>
      <c r="F8" s="117"/>
      <c r="G8" s="117"/>
      <c r="H8" s="113"/>
      <c r="I8" s="117"/>
      <c r="J8" s="117"/>
      <c r="K8" s="113"/>
      <c r="L8" s="117"/>
      <c r="M8" s="117"/>
      <c r="N8" s="113"/>
      <c r="O8" s="113"/>
      <c r="P8" s="113"/>
      <c r="Q8" s="114"/>
    </row>
    <row r="9" s="106" customFormat="true" ht="15" hidden="false" customHeight="true" outlineLevel="0" collapsed="false">
      <c r="A9" s="113"/>
      <c r="B9" s="113"/>
      <c r="C9" s="113"/>
      <c r="D9" s="113"/>
      <c r="E9" s="113"/>
      <c r="F9" s="99"/>
      <c r="G9" s="113"/>
      <c r="H9" s="113"/>
      <c r="I9" s="99"/>
      <c r="J9" s="113"/>
      <c r="K9" s="113"/>
      <c r="L9" s="99"/>
      <c r="M9" s="113"/>
      <c r="N9" s="113"/>
      <c r="O9" s="113"/>
      <c r="P9" s="113"/>
      <c r="Q9" s="114"/>
    </row>
    <row r="10" s="106" customFormat="true" ht="25.5" hidden="false" customHeight="true" outlineLevel="0" collapsed="false">
      <c r="A10" s="121" t="s">
        <v>59</v>
      </c>
      <c r="B10" s="121" t="s">
        <v>60</v>
      </c>
      <c r="C10" s="121" t="s">
        <v>61</v>
      </c>
      <c r="D10" s="121" t="s">
        <v>62</v>
      </c>
      <c r="E10" s="121" t="s">
        <v>63</v>
      </c>
      <c r="F10" s="121" t="s">
        <v>56</v>
      </c>
      <c r="G10" s="121" t="s">
        <v>64</v>
      </c>
      <c r="H10" s="121" t="s">
        <v>65</v>
      </c>
      <c r="I10" s="121" t="s">
        <v>57</v>
      </c>
      <c r="J10" s="121" t="s">
        <v>64</v>
      </c>
      <c r="K10" s="121" t="s">
        <v>65</v>
      </c>
      <c r="L10" s="121" t="s">
        <v>58</v>
      </c>
      <c r="M10" s="121" t="s">
        <v>64</v>
      </c>
      <c r="N10" s="121" t="s">
        <v>65</v>
      </c>
      <c r="O10" s="121" t="s">
        <v>66</v>
      </c>
      <c r="Q10" s="122"/>
    </row>
    <row r="11" s="106" customFormat="true" ht="15.75" hidden="false" customHeight="true" outlineLevel="0" collapsed="false">
      <c r="A11" s="106" t="s">
        <v>116</v>
      </c>
    </row>
    <row r="12" s="123" customFormat="true" ht="120.75" hidden="false" customHeight="true" outlineLevel="1" collapsed="false">
      <c r="A12" s="123" t="s">
        <v>117</v>
      </c>
      <c r="B12" s="123" t="s">
        <v>118</v>
      </c>
      <c r="C12" s="124" t="s">
        <v>119</v>
      </c>
      <c r="D12" s="123" t="s">
        <v>120</v>
      </c>
      <c r="E12" s="123" t="s">
        <v>121</v>
      </c>
      <c r="F12" s="123" t="s">
        <v>41</v>
      </c>
      <c r="G12" s="125" t="n">
        <v>46177</v>
      </c>
      <c r="H12" s="123" t="s">
        <v>72</v>
      </c>
      <c r="I12" s="123" t="s">
        <v>41</v>
      </c>
      <c r="J12" s="125" t="n">
        <v>46199</v>
      </c>
      <c r="K12" s="123" t="s">
        <v>72</v>
      </c>
      <c r="L12" s="123" t="s">
        <v>41</v>
      </c>
      <c r="M12" s="125" t="n">
        <v>46199</v>
      </c>
      <c r="N12" s="123" t="s">
        <v>73</v>
      </c>
    </row>
    <row r="13" customFormat="false" ht="23.25" hidden="false" customHeight="true" outlineLevel="1" collapsed="false">
      <c r="A13" s="8" t="s">
        <v>122</v>
      </c>
      <c r="B13" s="8" t="s">
        <v>123</v>
      </c>
      <c r="C13" s="45" t="s">
        <v>124</v>
      </c>
      <c r="D13" s="8" t="s">
        <v>125</v>
      </c>
      <c r="E13" s="8" t="s">
        <v>126</v>
      </c>
      <c r="F13" s="8" t="s">
        <v>41</v>
      </c>
      <c r="G13" s="125" t="n">
        <v>46181</v>
      </c>
      <c r="H13" s="8" t="s">
        <v>73</v>
      </c>
      <c r="I13" s="8" t="s">
        <v>41</v>
      </c>
      <c r="J13" s="125" t="n">
        <v>46202</v>
      </c>
      <c r="K13" s="8" t="s">
        <v>73</v>
      </c>
      <c r="L13" s="8" t="s">
        <v>41</v>
      </c>
      <c r="M13" s="125" t="n">
        <v>46202</v>
      </c>
      <c r="N13" s="8" t="s">
        <v>79</v>
      </c>
    </row>
    <row r="14" customFormat="false" ht="23.25" hidden="false" customHeight="true" outlineLevel="1" collapsed="false">
      <c r="A14" s="8" t="s">
        <v>127</v>
      </c>
      <c r="B14" s="8" t="s">
        <v>128</v>
      </c>
      <c r="C14" s="45" t="s">
        <v>129</v>
      </c>
      <c r="D14" s="8" t="s">
        <v>130</v>
      </c>
      <c r="E14" s="8" t="s">
        <v>131</v>
      </c>
      <c r="F14" s="8" t="s">
        <v>41</v>
      </c>
      <c r="G14" s="125" t="n">
        <v>46183</v>
      </c>
      <c r="H14" s="8" t="s">
        <v>79</v>
      </c>
      <c r="I14" s="8" t="s">
        <v>41</v>
      </c>
      <c r="J14" s="125" t="n">
        <v>46204</v>
      </c>
      <c r="K14" s="8" t="s">
        <v>79</v>
      </c>
      <c r="L14" s="8" t="s">
        <v>41</v>
      </c>
      <c r="M14" s="125" t="n">
        <v>46204</v>
      </c>
      <c r="N14" s="8" t="s">
        <v>72</v>
      </c>
    </row>
    <row r="15" s="106" customFormat="true" ht="15.75" hidden="false" customHeight="true" outlineLevel="0" collapsed="false">
      <c r="A15" s="106" t="s">
        <v>132</v>
      </c>
    </row>
    <row r="16" customFormat="false" ht="34.5" hidden="false" customHeight="true" outlineLevel="1" collapsed="false">
      <c r="A16" s="8" t="s">
        <v>133</v>
      </c>
      <c r="B16" s="8" t="s">
        <v>134</v>
      </c>
      <c r="C16" s="45" t="s">
        <v>135</v>
      </c>
      <c r="D16" s="8" t="s">
        <v>136</v>
      </c>
      <c r="E16" s="8" t="s">
        <v>137</v>
      </c>
      <c r="F16" s="8" t="s">
        <v>41</v>
      </c>
      <c r="G16" s="125" t="n">
        <v>46185</v>
      </c>
      <c r="H16" s="8" t="s">
        <v>72</v>
      </c>
      <c r="I16" s="8" t="s">
        <v>41</v>
      </c>
      <c r="J16" s="125" t="n">
        <v>46206</v>
      </c>
      <c r="K16" s="8" t="s">
        <v>72</v>
      </c>
      <c r="L16" s="8" t="s">
        <v>41</v>
      </c>
      <c r="M16" s="125" t="n">
        <v>46206</v>
      </c>
      <c r="N16" s="8" t="s">
        <v>73</v>
      </c>
    </row>
    <row r="17" customFormat="false" ht="23.25" hidden="false" customHeight="true" outlineLevel="1" collapsed="false">
      <c r="A17" s="8" t="s">
        <v>138</v>
      </c>
      <c r="B17" s="8" t="s">
        <v>139</v>
      </c>
      <c r="C17" s="45" t="s">
        <v>140</v>
      </c>
      <c r="D17" s="8" t="s">
        <v>141</v>
      </c>
      <c r="E17" s="8" t="s">
        <v>137</v>
      </c>
      <c r="F17" s="8" t="s">
        <v>41</v>
      </c>
      <c r="G17" s="125" t="n">
        <v>46188</v>
      </c>
      <c r="H17" s="8" t="s">
        <v>73</v>
      </c>
      <c r="I17" s="8" t="s">
        <v>41</v>
      </c>
      <c r="J17" s="125" t="n">
        <v>46209</v>
      </c>
      <c r="K17" s="8" t="s">
        <v>73</v>
      </c>
      <c r="L17" s="8" t="s">
        <v>41</v>
      </c>
      <c r="M17" s="125" t="n">
        <v>46209</v>
      </c>
      <c r="N17" s="8" t="s">
        <v>79</v>
      </c>
    </row>
    <row r="18" customFormat="false" ht="12.75" hidden="false" customHeight="true" outlineLevel="0" collapsed="false">
      <c r="A18" s="8" t="s">
        <v>142</v>
      </c>
    </row>
    <row r="19" customFormat="false" ht="34.5" hidden="false" customHeight="true" outlineLevel="0" collapsed="false">
      <c r="A19" s="8" t="s">
        <v>143</v>
      </c>
      <c r="B19" s="8" t="s">
        <v>144</v>
      </c>
      <c r="C19" s="45" t="s">
        <v>145</v>
      </c>
      <c r="D19" s="8" t="s">
        <v>146</v>
      </c>
      <c r="E19" s="8" t="s">
        <v>147</v>
      </c>
      <c r="F19" s="8" t="s">
        <v>41</v>
      </c>
      <c r="G19" s="125" t="n">
        <v>46190</v>
      </c>
      <c r="H19" s="8" t="s">
        <v>79</v>
      </c>
      <c r="I19" s="8" t="s">
        <v>41</v>
      </c>
      <c r="J19" s="125" t="n">
        <v>46211</v>
      </c>
      <c r="K19" s="8" t="s">
        <v>79</v>
      </c>
      <c r="L19" s="8" t="s">
        <v>41</v>
      </c>
      <c r="M19" s="125" t="n">
        <v>46211</v>
      </c>
      <c r="N19" s="8" t="s">
        <v>72</v>
      </c>
    </row>
    <row r="20" customFormat="false" ht="23.25" hidden="false" customHeight="true" outlineLevel="0" collapsed="false">
      <c r="A20" s="8" t="s">
        <v>148</v>
      </c>
      <c r="B20" s="8" t="s">
        <v>149</v>
      </c>
      <c r="C20" s="45" t="s">
        <v>150</v>
      </c>
      <c r="D20" s="8" t="s">
        <v>151</v>
      </c>
      <c r="E20" s="8" t="s">
        <v>152</v>
      </c>
      <c r="F20" s="8" t="s">
        <v>41</v>
      </c>
      <c r="G20" s="125" t="n">
        <v>46192</v>
      </c>
      <c r="H20" s="8" t="s">
        <v>72</v>
      </c>
      <c r="I20" s="8" t="s">
        <v>41</v>
      </c>
      <c r="J20" s="125" t="n">
        <v>46213</v>
      </c>
      <c r="K20" s="8" t="s">
        <v>72</v>
      </c>
      <c r="L20" s="8" t="s">
        <v>41</v>
      </c>
      <c r="M20" s="125" t="n">
        <v>46213</v>
      </c>
      <c r="N20" s="8" t="s">
        <v>73</v>
      </c>
    </row>
    <row r="21" customFormat="false" ht="23.25" hidden="false" customHeight="true" outlineLevel="0" collapsed="false">
      <c r="A21" s="8" t="s">
        <v>153</v>
      </c>
      <c r="B21" s="8" t="s">
        <v>154</v>
      </c>
      <c r="C21" s="45" t="s">
        <v>155</v>
      </c>
      <c r="D21" s="8" t="s">
        <v>156</v>
      </c>
      <c r="E21" s="8" t="s">
        <v>157</v>
      </c>
      <c r="F21" s="8" t="s">
        <v>41</v>
      </c>
      <c r="G21" s="125" t="n">
        <v>46175</v>
      </c>
      <c r="H21" s="8" t="s">
        <v>73</v>
      </c>
      <c r="I21" s="8" t="s">
        <v>41</v>
      </c>
      <c r="J21" s="125" t="n">
        <v>46197</v>
      </c>
      <c r="K21" s="8" t="s">
        <v>73</v>
      </c>
      <c r="L21" s="8" t="s">
        <v>41</v>
      </c>
      <c r="M21" s="125" t="n">
        <v>46197</v>
      </c>
      <c r="N21" s="8" t="s">
        <v>79</v>
      </c>
    </row>
  </sheetData>
  <mergeCells count="3">
    <mergeCell ref="B2:E2"/>
    <mergeCell ref="B3:E3"/>
    <mergeCell ref="B4:E4"/>
  </mergeCells>
  <dataValidations count="2">
    <dataValidation allowBlank="true" errorStyle="stop" operator="between" showDropDown="false" showErrorMessage="true" showInputMessage="false" sqref="F10 I10 L10" type="none">
      <formula1>0</formula1>
      <formula2>0</formula2>
    </dataValidation>
    <dataValidation allowBlank="true" errorStyle="stop" operator="between" showDropDown="false" showErrorMessage="true" showInputMessage="false" sqref="G2:G3 J2:J3 M2:M3 G9 J9 M9 F12:F17 I12:I17 L12:L17 G18:G145 J18:J145 M18:M145" type="list">
      <formula1>$R$2:$R$5</formula1>
      <formula2>0</formula2>
    </dataValidation>
  </dataValidations>
  <printOptions headings="false" gridLines="false" gridLinesSet="true" horizontalCentered="false" verticalCentered="false"/>
  <pageMargins left="0.747916666666667" right="0.25" top="0.75" bottom="0.984027777777778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&amp;LFacilitate_Test Case\Company&amp;Rv1.0</oddHeader>
    <oddFooter>&amp;L&amp;"Tahoma,Regular"&amp;8 02ae-BM/PM/HDCV/FSOFT v2/0&amp;C&amp;"Tahoma,Regular"&amp;10 Internal use&amp;R&amp;"Tahoma,Regular"&amp;8 &amp;P/&amp;N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R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" defaultRowHeight="12.75" customHeight="false" zeroHeight="false" outlineLevelRow="1" outlineLevelCol="1"/>
  <cols>
    <col collapsed="false" customWidth="true" hidden="false" outlineLevel="0" max="1" min="1" style="8" width="17"/>
    <col collapsed="false" customWidth="true" hidden="false" outlineLevel="0" max="2" min="2" style="8" width="34.44"/>
    <col collapsed="false" customWidth="true" hidden="false" outlineLevel="0" max="3" min="3" style="8" width="33.33"/>
    <col collapsed="false" customWidth="true" hidden="false" outlineLevel="0" max="4" min="4" style="8" width="34.66"/>
    <col collapsed="false" customWidth="true" hidden="false" outlineLevel="0" max="5" min="5" style="8" width="28.33"/>
    <col collapsed="false" customWidth="true" hidden="false" outlineLevel="0" max="6" min="6" style="8" width="9.33"/>
    <col collapsed="false" customWidth="true" hidden="false" outlineLevel="1" max="7" min="7" style="8" width="10.66"/>
    <col collapsed="false" customWidth="true" hidden="false" outlineLevel="1" max="8" min="8" style="8" width="7"/>
    <col collapsed="false" customWidth="true" hidden="false" outlineLevel="0" max="9" min="9" style="8" width="9.33"/>
    <col collapsed="false" customWidth="true" hidden="false" outlineLevel="1" max="10" min="10" style="8" width="10.66"/>
    <col collapsed="false" customWidth="true" hidden="false" outlineLevel="1" max="11" min="11" style="8" width="7"/>
    <col collapsed="false" customWidth="true" hidden="false" outlineLevel="0" max="12" min="12" style="8" width="9.33"/>
    <col collapsed="false" customWidth="true" hidden="false" outlineLevel="1" max="13" min="13" style="8" width="10.66"/>
    <col collapsed="false" customWidth="true" hidden="false" outlineLevel="1" max="14" min="14" style="8" width="7"/>
    <col collapsed="false" customWidth="true" hidden="false" outlineLevel="0" max="15" min="15" style="8" width="28.66"/>
    <col collapsed="false" customWidth="true" hidden="false" outlineLevel="0" max="16" min="16" style="8" width="10.11"/>
    <col collapsed="false" customWidth="true" hidden="false" outlineLevel="0" max="17" min="17" style="100" width="8.11"/>
    <col collapsed="false" customWidth="true" hidden="true" outlineLevel="0" max="18" min="18" style="8" width="7.67"/>
    <col collapsed="false" customWidth="false" hidden="false" outlineLevel="0" max="16384" min="19" style="8" width="9"/>
  </cols>
  <sheetData>
    <row r="1" customFormat="false" ht="13.5" hidden="false" customHeight="true" outlineLevel="0" collapsed="false"/>
    <row r="2" s="106" customFormat="true" ht="15" hidden="false" customHeight="true" outlineLevel="0" collapsed="false">
      <c r="A2" s="101" t="s">
        <v>50</v>
      </c>
      <c r="B2" s="102" t="s">
        <v>158</v>
      </c>
      <c r="C2" s="102"/>
      <c r="D2" s="102"/>
      <c r="E2" s="102"/>
      <c r="F2" s="103"/>
      <c r="G2" s="104"/>
      <c r="H2" s="45"/>
      <c r="I2" s="103"/>
      <c r="J2" s="104"/>
      <c r="K2" s="45"/>
      <c r="L2" s="103"/>
      <c r="M2" s="104"/>
      <c r="N2" s="45"/>
      <c r="O2" s="45"/>
      <c r="P2" s="45"/>
      <c r="Q2" s="105"/>
      <c r="R2" s="106" t="s">
        <v>41</v>
      </c>
    </row>
    <row r="3" s="106" customFormat="true" ht="26.25" hidden="false" customHeight="true" outlineLevel="0" collapsed="false">
      <c r="A3" s="107" t="s">
        <v>52</v>
      </c>
      <c r="B3" s="108" t="s">
        <v>159</v>
      </c>
      <c r="C3" s="108"/>
      <c r="D3" s="108"/>
      <c r="E3" s="108"/>
      <c r="F3" s="103"/>
      <c r="G3" s="104"/>
      <c r="H3" s="45"/>
      <c r="I3" s="103"/>
      <c r="J3" s="104"/>
      <c r="K3" s="45"/>
      <c r="L3" s="103"/>
      <c r="M3" s="104"/>
      <c r="N3" s="45"/>
      <c r="O3" s="45"/>
      <c r="P3" s="45"/>
      <c r="Q3" s="105"/>
      <c r="R3" s="106" t="s">
        <v>42</v>
      </c>
    </row>
    <row r="4" s="106" customFormat="true" ht="18" hidden="false" customHeight="true" outlineLevel="0" collapsed="false">
      <c r="A4" s="107" t="s">
        <v>54</v>
      </c>
      <c r="B4" s="108" t="n">
        <f aca="false">COUNTA(A12:A998)</f>
        <v>8</v>
      </c>
      <c r="C4" s="108"/>
      <c r="D4" s="108"/>
      <c r="E4" s="108"/>
      <c r="F4" s="103"/>
      <c r="G4" s="104"/>
      <c r="H4" s="45"/>
      <c r="I4" s="103"/>
      <c r="J4" s="104"/>
      <c r="K4" s="45"/>
      <c r="L4" s="103"/>
      <c r="M4" s="104"/>
      <c r="N4" s="45"/>
      <c r="O4" s="45"/>
      <c r="P4" s="45"/>
      <c r="Q4" s="105"/>
      <c r="R4" s="106" t="s">
        <v>43</v>
      </c>
    </row>
    <row r="5" s="106" customFormat="true" ht="19.5" hidden="false" customHeight="true" outlineLevel="0" collapsed="false">
      <c r="A5" s="109" t="s">
        <v>55</v>
      </c>
      <c r="B5" s="110" t="s">
        <v>41</v>
      </c>
      <c r="C5" s="110" t="s">
        <v>42</v>
      </c>
      <c r="D5" s="110" t="s">
        <v>43</v>
      </c>
      <c r="E5" s="111" t="s">
        <v>44</v>
      </c>
      <c r="F5" s="112"/>
      <c r="G5" s="112"/>
      <c r="H5" s="113"/>
      <c r="I5" s="112"/>
      <c r="J5" s="112"/>
      <c r="K5" s="113"/>
      <c r="L5" s="112"/>
      <c r="M5" s="112"/>
      <c r="N5" s="113"/>
      <c r="O5" s="113"/>
      <c r="P5" s="113"/>
      <c r="Q5" s="114"/>
      <c r="R5" s="106" t="s">
        <v>44</v>
      </c>
    </row>
    <row r="6" s="106" customFormat="true" ht="15" hidden="false" customHeight="true" outlineLevel="0" collapsed="false">
      <c r="A6" s="109" t="s">
        <v>56</v>
      </c>
      <c r="B6" s="115" t="n">
        <f aca="false">COUNTIF($F10:$F996,B5)</f>
        <v>7</v>
      </c>
      <c r="C6" s="115" t="n">
        <f aca="false">COUNTIF($F10:$F996,C5)</f>
        <v>0</v>
      </c>
      <c r="D6" s="115" t="n">
        <f aca="false">COUNTIF($F10:$F996,D5)</f>
        <v>0</v>
      </c>
      <c r="E6" s="116" t="n">
        <f aca="false">COUNTIF($F10:$F996,E5)</f>
        <v>0</v>
      </c>
      <c r="F6" s="117"/>
      <c r="G6" s="117"/>
      <c r="H6" s="113"/>
      <c r="I6" s="117"/>
      <c r="J6" s="117"/>
      <c r="K6" s="113"/>
      <c r="L6" s="117"/>
      <c r="M6" s="117"/>
      <c r="N6" s="113"/>
      <c r="O6" s="113"/>
      <c r="P6" s="113"/>
      <c r="Q6" s="114"/>
    </row>
    <row r="7" s="106" customFormat="true" ht="15" hidden="false" customHeight="true" outlineLevel="0" collapsed="false">
      <c r="A7" s="109" t="s">
        <v>57</v>
      </c>
      <c r="B7" s="115" t="n">
        <f aca="false">COUNTIF($F10:$F996,B5)</f>
        <v>7</v>
      </c>
      <c r="C7" s="115" t="n">
        <f aca="false">COUNTIF($F10:$F996,C5)</f>
        <v>0</v>
      </c>
      <c r="D7" s="115" t="n">
        <f aca="false">COUNTIF($F10:$F996,D5)</f>
        <v>0</v>
      </c>
      <c r="E7" s="116" t="n">
        <f aca="false">COUNTIF($F10:$F996,E5)</f>
        <v>0</v>
      </c>
      <c r="F7" s="117"/>
      <c r="G7" s="117"/>
      <c r="H7" s="113"/>
      <c r="I7" s="117"/>
      <c r="J7" s="117"/>
      <c r="K7" s="113"/>
      <c r="L7" s="117"/>
      <c r="M7" s="117"/>
      <c r="N7" s="113"/>
      <c r="O7" s="113"/>
      <c r="P7" s="113"/>
      <c r="Q7" s="114"/>
    </row>
    <row r="8" s="106" customFormat="true" ht="15" hidden="false" customHeight="true" outlineLevel="0" collapsed="false">
      <c r="A8" s="118" t="s">
        <v>58</v>
      </c>
      <c r="B8" s="119" t="n">
        <f aca="false">COUNTIF($F10:$F996,B5)</f>
        <v>7</v>
      </c>
      <c r="C8" s="119" t="n">
        <f aca="false">COUNTIF($F10:$F996,C5)</f>
        <v>0</v>
      </c>
      <c r="D8" s="119" t="n">
        <f aca="false">COUNTIF($F10:$F996,D5)</f>
        <v>0</v>
      </c>
      <c r="E8" s="120" t="n">
        <f aca="false">COUNTIF($F10:$F996,E5)</f>
        <v>0</v>
      </c>
      <c r="F8" s="117"/>
      <c r="G8" s="117"/>
      <c r="H8" s="113"/>
      <c r="I8" s="117"/>
      <c r="J8" s="117"/>
      <c r="K8" s="113"/>
      <c r="L8" s="117"/>
      <c r="M8" s="117"/>
      <c r="N8" s="113"/>
      <c r="O8" s="113"/>
      <c r="P8" s="113"/>
      <c r="Q8" s="114"/>
    </row>
    <row r="9" s="106" customFormat="true" ht="15" hidden="false" customHeight="true" outlineLevel="0" collapsed="false">
      <c r="A9" s="113"/>
      <c r="B9" s="113"/>
      <c r="C9" s="113"/>
      <c r="D9" s="113"/>
      <c r="E9" s="113"/>
      <c r="F9" s="99"/>
      <c r="G9" s="113"/>
      <c r="H9" s="113"/>
      <c r="I9" s="99"/>
      <c r="J9" s="113"/>
      <c r="K9" s="113"/>
      <c r="L9" s="99"/>
      <c r="M9" s="113"/>
      <c r="N9" s="113"/>
      <c r="O9" s="113"/>
      <c r="P9" s="113"/>
      <c r="Q9" s="114"/>
    </row>
    <row r="10" s="106" customFormat="true" ht="25.5" hidden="false" customHeight="true" outlineLevel="0" collapsed="false">
      <c r="A10" s="121" t="s">
        <v>59</v>
      </c>
      <c r="B10" s="121" t="s">
        <v>60</v>
      </c>
      <c r="C10" s="121" t="s">
        <v>61</v>
      </c>
      <c r="D10" s="121" t="s">
        <v>62</v>
      </c>
      <c r="E10" s="121" t="s">
        <v>63</v>
      </c>
      <c r="F10" s="121" t="s">
        <v>56</v>
      </c>
      <c r="G10" s="121" t="s">
        <v>64</v>
      </c>
      <c r="H10" s="121" t="s">
        <v>65</v>
      </c>
      <c r="I10" s="121" t="s">
        <v>57</v>
      </c>
      <c r="J10" s="121" t="s">
        <v>64</v>
      </c>
      <c r="K10" s="121" t="s">
        <v>65</v>
      </c>
      <c r="L10" s="121" t="s">
        <v>58</v>
      </c>
      <c r="M10" s="121" t="s">
        <v>64</v>
      </c>
      <c r="N10" s="121" t="s">
        <v>65</v>
      </c>
      <c r="O10" s="121" t="s">
        <v>66</v>
      </c>
      <c r="Q10" s="122"/>
    </row>
    <row r="11" s="106" customFormat="true" ht="15.75" hidden="false" customHeight="true" outlineLevel="0" collapsed="false">
      <c r="A11" s="106" t="s">
        <v>160</v>
      </c>
    </row>
    <row r="12" s="123" customFormat="true" ht="120.75" hidden="false" customHeight="true" outlineLevel="1" collapsed="false">
      <c r="A12" s="123" t="s">
        <v>161</v>
      </c>
      <c r="B12" s="123" t="s">
        <v>162</v>
      </c>
      <c r="C12" s="124" t="s">
        <v>163</v>
      </c>
      <c r="D12" s="123" t="s">
        <v>164</v>
      </c>
      <c r="E12" s="123" t="s">
        <v>165</v>
      </c>
      <c r="F12" s="123" t="s">
        <v>41</v>
      </c>
      <c r="G12" s="125" t="n">
        <v>46177</v>
      </c>
      <c r="H12" s="123" t="s">
        <v>79</v>
      </c>
      <c r="I12" s="123" t="s">
        <v>41</v>
      </c>
      <c r="J12" s="125" t="n">
        <v>46199</v>
      </c>
      <c r="K12" s="123" t="s">
        <v>79</v>
      </c>
      <c r="L12" s="123" t="s">
        <v>41</v>
      </c>
      <c r="M12" s="125" t="n">
        <v>46199</v>
      </c>
      <c r="N12" s="123" t="s">
        <v>72</v>
      </c>
    </row>
    <row r="13" customFormat="false" ht="23.25" hidden="false" customHeight="true" outlineLevel="1" collapsed="false">
      <c r="A13" s="8" t="s">
        <v>166</v>
      </c>
      <c r="B13" s="8" t="s">
        <v>167</v>
      </c>
      <c r="C13" s="45" t="s">
        <v>168</v>
      </c>
      <c r="D13" s="8" t="s">
        <v>169</v>
      </c>
      <c r="E13" s="8" t="s">
        <v>170</v>
      </c>
      <c r="F13" s="8" t="s">
        <v>41</v>
      </c>
      <c r="G13" s="125" t="n">
        <v>46181</v>
      </c>
      <c r="H13" s="8" t="s">
        <v>72</v>
      </c>
      <c r="I13" s="8" t="s">
        <v>41</v>
      </c>
      <c r="J13" s="125" t="n">
        <v>46202</v>
      </c>
      <c r="K13" s="8" t="s">
        <v>72</v>
      </c>
      <c r="L13" s="8" t="s">
        <v>41</v>
      </c>
      <c r="M13" s="125" t="n">
        <v>46202</v>
      </c>
      <c r="N13" s="8" t="s">
        <v>73</v>
      </c>
    </row>
    <row r="14" customFormat="false" ht="13.5" hidden="false" customHeight="true" outlineLevel="1" collapsed="false">
      <c r="A14" s="8" t="s">
        <v>171</v>
      </c>
      <c r="B14" s="8" t="s">
        <v>172</v>
      </c>
      <c r="C14" s="8" t="s">
        <v>173</v>
      </c>
      <c r="D14" s="8" t="s">
        <v>174</v>
      </c>
      <c r="E14" s="8" t="s">
        <v>175</v>
      </c>
      <c r="F14" s="8" t="s">
        <v>41</v>
      </c>
      <c r="G14" s="125" t="n">
        <v>46183</v>
      </c>
      <c r="H14" s="8" t="s">
        <v>73</v>
      </c>
      <c r="I14" s="8" t="s">
        <v>41</v>
      </c>
      <c r="J14" s="125" t="n">
        <v>46204</v>
      </c>
      <c r="K14" s="8" t="s">
        <v>73</v>
      </c>
      <c r="L14" s="8" t="s">
        <v>41</v>
      </c>
      <c r="M14" s="125" t="n">
        <v>46204</v>
      </c>
      <c r="N14" s="8" t="s">
        <v>79</v>
      </c>
    </row>
    <row r="15" s="106" customFormat="true" ht="15.75" hidden="false" customHeight="true" outlineLevel="0" collapsed="false">
      <c r="A15" s="106" t="s">
        <v>176</v>
      </c>
      <c r="B15" s="106" t="s">
        <v>177</v>
      </c>
      <c r="C15" s="126" t="s">
        <v>178</v>
      </c>
      <c r="D15" s="106" t="s">
        <v>179</v>
      </c>
      <c r="E15" s="106" t="s">
        <v>180</v>
      </c>
      <c r="F15" s="106" t="s">
        <v>41</v>
      </c>
      <c r="G15" s="125" t="n">
        <v>46185</v>
      </c>
      <c r="H15" s="106" t="s">
        <v>79</v>
      </c>
      <c r="I15" s="106" t="s">
        <v>41</v>
      </c>
      <c r="J15" s="125" t="n">
        <v>46206</v>
      </c>
      <c r="K15" s="106" t="s">
        <v>79</v>
      </c>
      <c r="L15" s="106" t="s">
        <v>41</v>
      </c>
      <c r="M15" s="125" t="n">
        <v>46206</v>
      </c>
      <c r="N15" s="106" t="s">
        <v>72</v>
      </c>
    </row>
    <row r="16" customFormat="false" ht="12.75" hidden="false" customHeight="true" outlineLevel="1" collapsed="false">
      <c r="A16" s="8" t="s">
        <v>181</v>
      </c>
    </row>
    <row r="17" customFormat="false" ht="34.5" hidden="false" customHeight="true" outlineLevel="1" collapsed="false">
      <c r="A17" s="8" t="s">
        <v>182</v>
      </c>
      <c r="B17" s="8" t="s">
        <v>183</v>
      </c>
      <c r="C17" s="45" t="s">
        <v>184</v>
      </c>
      <c r="D17" s="8" t="s">
        <v>185</v>
      </c>
      <c r="E17" s="8" t="s">
        <v>186</v>
      </c>
      <c r="F17" s="8" t="s">
        <v>41</v>
      </c>
      <c r="G17" s="125" t="n">
        <v>46188</v>
      </c>
      <c r="H17" s="8" t="s">
        <v>72</v>
      </c>
      <c r="I17" s="8" t="s">
        <v>41</v>
      </c>
      <c r="J17" s="125" t="n">
        <v>46209</v>
      </c>
      <c r="K17" s="8" t="s">
        <v>72</v>
      </c>
      <c r="L17" s="8" t="s">
        <v>41</v>
      </c>
      <c r="M17" s="125" t="n">
        <v>46209</v>
      </c>
      <c r="N17" s="8" t="s">
        <v>73</v>
      </c>
    </row>
    <row r="18" customFormat="false" ht="23.25" hidden="false" customHeight="true" outlineLevel="0" collapsed="false">
      <c r="A18" s="8" t="s">
        <v>187</v>
      </c>
      <c r="B18" s="8" t="s">
        <v>188</v>
      </c>
      <c r="C18" s="45" t="s">
        <v>189</v>
      </c>
      <c r="D18" s="8" t="s">
        <v>190</v>
      </c>
      <c r="E18" s="8" t="s">
        <v>14</v>
      </c>
      <c r="F18" s="8" t="s">
        <v>41</v>
      </c>
      <c r="G18" s="125" t="n">
        <v>46190</v>
      </c>
      <c r="H18" s="8" t="s">
        <v>73</v>
      </c>
      <c r="I18" s="8" t="s">
        <v>42</v>
      </c>
      <c r="J18" s="125" t="n">
        <v>46211</v>
      </c>
      <c r="K18" s="8" t="s">
        <v>73</v>
      </c>
      <c r="L18" s="8" t="s">
        <v>42</v>
      </c>
      <c r="M18" s="125" t="n">
        <v>46211</v>
      </c>
      <c r="N18" s="8" t="s">
        <v>79</v>
      </c>
    </row>
    <row r="19" customFormat="false" ht="13.5" hidden="false" customHeight="true" outlineLevel="0" collapsed="false">
      <c r="A19" s="8" t="s">
        <v>191</v>
      </c>
      <c r="B19" s="8" t="s">
        <v>192</v>
      </c>
      <c r="C19" s="8" t="s">
        <v>193</v>
      </c>
      <c r="D19" s="8" t="s">
        <v>194</v>
      </c>
      <c r="E19" s="8" t="s">
        <v>195</v>
      </c>
      <c r="F19" s="8" t="s">
        <v>41</v>
      </c>
      <c r="G19" s="125" t="n">
        <v>46192</v>
      </c>
      <c r="H19" s="8" t="s">
        <v>79</v>
      </c>
      <c r="I19" s="8" t="s">
        <v>41</v>
      </c>
      <c r="J19" s="125" t="n">
        <v>46213</v>
      </c>
      <c r="K19" s="8" t="s">
        <v>79</v>
      </c>
      <c r="L19" s="8" t="s">
        <v>41</v>
      </c>
      <c r="M19" s="125" t="n">
        <v>46213</v>
      </c>
      <c r="N19" s="8" t="s">
        <v>72</v>
      </c>
    </row>
  </sheetData>
  <mergeCells count="3">
    <mergeCell ref="B2:E2"/>
    <mergeCell ref="B3:E3"/>
    <mergeCell ref="B4:E4"/>
  </mergeCells>
  <printOptions headings="false" gridLines="false" gridLinesSet="true" horizontalCentered="false" verticalCentered="false"/>
  <pageMargins left="0.747916666666667" right="0.25" top="0.75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R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" defaultRowHeight="12.75" customHeight="false" zeroHeight="false" outlineLevelRow="1" outlineLevelCol="1"/>
  <cols>
    <col collapsed="false" customWidth="true" hidden="false" outlineLevel="0" max="1" min="1" style="8" width="17"/>
    <col collapsed="false" customWidth="true" hidden="false" outlineLevel="0" max="2" min="2" style="8" width="34.44"/>
    <col collapsed="false" customWidth="true" hidden="false" outlineLevel="0" max="3" min="3" style="8" width="33.33"/>
    <col collapsed="false" customWidth="true" hidden="false" outlineLevel="0" max="4" min="4" style="8" width="34.66"/>
    <col collapsed="false" customWidth="true" hidden="false" outlineLevel="0" max="5" min="5" style="8" width="28.33"/>
    <col collapsed="false" customWidth="true" hidden="false" outlineLevel="0" max="6" min="6" style="8" width="9.33"/>
    <col collapsed="false" customWidth="true" hidden="false" outlineLevel="1" max="7" min="7" style="8" width="10.66"/>
    <col collapsed="false" customWidth="true" hidden="false" outlineLevel="1" max="8" min="8" style="8" width="7"/>
    <col collapsed="false" customWidth="true" hidden="false" outlineLevel="0" max="9" min="9" style="8" width="9.33"/>
    <col collapsed="false" customWidth="true" hidden="false" outlineLevel="1" max="10" min="10" style="8" width="10.66"/>
    <col collapsed="false" customWidth="true" hidden="false" outlineLevel="1" max="11" min="11" style="8" width="7"/>
    <col collapsed="false" customWidth="true" hidden="false" outlineLevel="0" max="12" min="12" style="8" width="9.33"/>
    <col collapsed="false" customWidth="true" hidden="false" outlineLevel="1" max="13" min="13" style="8" width="10.66"/>
    <col collapsed="false" customWidth="true" hidden="false" outlineLevel="1" max="14" min="14" style="8" width="7"/>
    <col collapsed="false" customWidth="true" hidden="false" outlineLevel="0" max="15" min="15" style="8" width="28.66"/>
    <col collapsed="false" customWidth="true" hidden="false" outlineLevel="0" max="16" min="16" style="8" width="10.11"/>
    <col collapsed="false" customWidth="true" hidden="false" outlineLevel="0" max="17" min="17" style="100" width="8.11"/>
    <col collapsed="false" customWidth="true" hidden="true" outlineLevel="0" max="18" min="18" style="8" width="7.67"/>
    <col collapsed="false" customWidth="false" hidden="false" outlineLevel="0" max="16384" min="19" style="8" width="9"/>
  </cols>
  <sheetData>
    <row r="1" customFormat="false" ht="13.5" hidden="false" customHeight="true" outlineLevel="0" collapsed="false"/>
    <row r="2" s="106" customFormat="true" ht="15" hidden="false" customHeight="true" outlineLevel="0" collapsed="false">
      <c r="A2" s="101" t="s">
        <v>50</v>
      </c>
      <c r="B2" s="102" t="s">
        <v>196</v>
      </c>
      <c r="C2" s="102"/>
      <c r="D2" s="102"/>
      <c r="E2" s="102"/>
      <c r="F2" s="103"/>
      <c r="G2" s="104"/>
      <c r="H2" s="45"/>
      <c r="I2" s="103"/>
      <c r="J2" s="104"/>
      <c r="K2" s="45"/>
      <c r="L2" s="103"/>
      <c r="M2" s="104"/>
      <c r="N2" s="45"/>
      <c r="O2" s="45"/>
      <c r="P2" s="45"/>
      <c r="Q2" s="105"/>
      <c r="R2" s="106" t="s">
        <v>41</v>
      </c>
    </row>
    <row r="3" s="106" customFormat="true" ht="26.25" hidden="false" customHeight="true" outlineLevel="0" collapsed="false">
      <c r="A3" s="107" t="s">
        <v>52</v>
      </c>
      <c r="B3" s="108" t="s">
        <v>197</v>
      </c>
      <c r="C3" s="108"/>
      <c r="D3" s="108"/>
      <c r="E3" s="108"/>
      <c r="F3" s="103"/>
      <c r="G3" s="104"/>
      <c r="H3" s="45"/>
      <c r="I3" s="103"/>
      <c r="J3" s="104"/>
      <c r="K3" s="45"/>
      <c r="L3" s="103"/>
      <c r="M3" s="104"/>
      <c r="N3" s="45"/>
      <c r="O3" s="45"/>
      <c r="P3" s="45"/>
      <c r="Q3" s="105"/>
      <c r="R3" s="106" t="s">
        <v>42</v>
      </c>
    </row>
    <row r="4" s="106" customFormat="true" ht="18" hidden="false" customHeight="true" outlineLevel="0" collapsed="false">
      <c r="A4" s="107" t="s">
        <v>54</v>
      </c>
      <c r="B4" s="108" t="n">
        <f aca="false">COUNTA(A12:A998)</f>
        <v>6</v>
      </c>
      <c r="C4" s="108"/>
      <c r="D4" s="108"/>
      <c r="E4" s="108"/>
      <c r="F4" s="103"/>
      <c r="G4" s="104"/>
      <c r="H4" s="45"/>
      <c r="I4" s="103"/>
      <c r="J4" s="104"/>
      <c r="K4" s="45"/>
      <c r="L4" s="103"/>
      <c r="M4" s="104"/>
      <c r="N4" s="45"/>
      <c r="O4" s="45"/>
      <c r="P4" s="45"/>
      <c r="Q4" s="105"/>
      <c r="R4" s="106" t="s">
        <v>43</v>
      </c>
    </row>
    <row r="5" s="106" customFormat="true" ht="19.5" hidden="false" customHeight="true" outlineLevel="0" collapsed="false">
      <c r="A5" s="109" t="s">
        <v>55</v>
      </c>
      <c r="B5" s="110" t="s">
        <v>41</v>
      </c>
      <c r="C5" s="110" t="s">
        <v>42</v>
      </c>
      <c r="D5" s="110" t="s">
        <v>43</v>
      </c>
      <c r="E5" s="111" t="s">
        <v>44</v>
      </c>
      <c r="F5" s="112"/>
      <c r="G5" s="112"/>
      <c r="H5" s="113"/>
      <c r="I5" s="112"/>
      <c r="J5" s="112"/>
      <c r="K5" s="113"/>
      <c r="L5" s="112"/>
      <c r="M5" s="112"/>
      <c r="N5" s="113"/>
      <c r="O5" s="113"/>
      <c r="P5" s="113"/>
      <c r="Q5" s="114"/>
      <c r="R5" s="106" t="s">
        <v>44</v>
      </c>
    </row>
    <row r="6" s="106" customFormat="true" ht="15" hidden="false" customHeight="true" outlineLevel="0" collapsed="false">
      <c r="A6" s="109" t="s">
        <v>56</v>
      </c>
      <c r="B6" s="115" t="n">
        <f aca="false">COUNTIF($F10:$F996,B5)</f>
        <v>5</v>
      </c>
      <c r="C6" s="115" t="n">
        <f aca="false">COUNTIF($F10:$F996,C5)</f>
        <v>0</v>
      </c>
      <c r="D6" s="115" t="n">
        <f aca="false">COUNTIF($F10:$F996,D5)</f>
        <v>0</v>
      </c>
      <c r="E6" s="116" t="n">
        <f aca="false">COUNTIF($F10:$F996,E5)</f>
        <v>0</v>
      </c>
      <c r="F6" s="117"/>
      <c r="G6" s="117"/>
      <c r="H6" s="113"/>
      <c r="I6" s="117"/>
      <c r="J6" s="117"/>
      <c r="K6" s="113"/>
      <c r="L6" s="117"/>
      <c r="M6" s="117"/>
      <c r="N6" s="113"/>
      <c r="O6" s="113"/>
      <c r="P6" s="113"/>
      <c r="Q6" s="114"/>
    </row>
    <row r="7" s="106" customFormat="true" ht="15" hidden="false" customHeight="true" outlineLevel="0" collapsed="false">
      <c r="A7" s="109" t="s">
        <v>57</v>
      </c>
      <c r="B7" s="115" t="n">
        <f aca="false">COUNTIF($F10:$F996,B5)</f>
        <v>5</v>
      </c>
      <c r="C7" s="115" t="n">
        <f aca="false">COUNTIF($F10:$F996,C5)</f>
        <v>0</v>
      </c>
      <c r="D7" s="115" t="n">
        <f aca="false">COUNTIF($F10:$F996,D5)</f>
        <v>0</v>
      </c>
      <c r="E7" s="116" t="n">
        <f aca="false">COUNTIF($F10:$F996,E5)</f>
        <v>0</v>
      </c>
      <c r="F7" s="117"/>
      <c r="G7" s="117"/>
      <c r="H7" s="113"/>
      <c r="I7" s="117"/>
      <c r="J7" s="117"/>
      <c r="K7" s="113"/>
      <c r="L7" s="117"/>
      <c r="M7" s="117"/>
      <c r="N7" s="113"/>
      <c r="O7" s="113"/>
      <c r="P7" s="113"/>
      <c r="Q7" s="114"/>
    </row>
    <row r="8" s="106" customFormat="true" ht="15" hidden="false" customHeight="true" outlineLevel="0" collapsed="false">
      <c r="A8" s="118" t="s">
        <v>58</v>
      </c>
      <c r="B8" s="119" t="n">
        <f aca="false">COUNTIF($F10:$F996,B5)</f>
        <v>5</v>
      </c>
      <c r="C8" s="119" t="n">
        <f aca="false">COUNTIF($F10:$F996,C5)</f>
        <v>0</v>
      </c>
      <c r="D8" s="119" t="n">
        <f aca="false">COUNTIF($F10:$F996,D5)</f>
        <v>0</v>
      </c>
      <c r="E8" s="120" t="n">
        <f aca="false">COUNTIF($F10:$F996,E5)</f>
        <v>0</v>
      </c>
      <c r="F8" s="117"/>
      <c r="G8" s="117"/>
      <c r="H8" s="113"/>
      <c r="I8" s="117"/>
      <c r="J8" s="117"/>
      <c r="K8" s="113"/>
      <c r="L8" s="117"/>
      <c r="M8" s="117"/>
      <c r="N8" s="113"/>
      <c r="O8" s="113"/>
      <c r="P8" s="113"/>
      <c r="Q8" s="114"/>
    </row>
    <row r="9" s="106" customFormat="true" ht="15" hidden="false" customHeight="true" outlineLevel="0" collapsed="false">
      <c r="A9" s="113"/>
      <c r="B9" s="113"/>
      <c r="C9" s="113"/>
      <c r="D9" s="113"/>
      <c r="E9" s="113"/>
      <c r="F9" s="99"/>
      <c r="G9" s="113"/>
      <c r="H9" s="113"/>
      <c r="I9" s="99"/>
      <c r="J9" s="113"/>
      <c r="K9" s="113"/>
      <c r="L9" s="99"/>
      <c r="M9" s="113"/>
      <c r="N9" s="113"/>
      <c r="O9" s="113"/>
      <c r="P9" s="113"/>
      <c r="Q9" s="114"/>
    </row>
    <row r="10" s="106" customFormat="true" ht="25.5" hidden="false" customHeight="true" outlineLevel="0" collapsed="false">
      <c r="A10" s="121" t="s">
        <v>59</v>
      </c>
      <c r="B10" s="121" t="s">
        <v>60</v>
      </c>
      <c r="C10" s="121" t="s">
        <v>61</v>
      </c>
      <c r="D10" s="121" t="s">
        <v>62</v>
      </c>
      <c r="E10" s="121" t="s">
        <v>63</v>
      </c>
      <c r="F10" s="121" t="s">
        <v>56</v>
      </c>
      <c r="G10" s="121" t="s">
        <v>64</v>
      </c>
      <c r="H10" s="121" t="s">
        <v>65</v>
      </c>
      <c r="I10" s="121" t="s">
        <v>57</v>
      </c>
      <c r="J10" s="121" t="s">
        <v>64</v>
      </c>
      <c r="K10" s="121" t="s">
        <v>65</v>
      </c>
      <c r="L10" s="121" t="s">
        <v>58</v>
      </c>
      <c r="M10" s="121" t="s">
        <v>64</v>
      </c>
      <c r="N10" s="121" t="s">
        <v>65</v>
      </c>
      <c r="O10" s="121" t="s">
        <v>66</v>
      </c>
      <c r="Q10" s="122"/>
    </row>
    <row r="11" s="106" customFormat="true" ht="15.75" hidden="false" customHeight="true" outlineLevel="0" collapsed="false">
      <c r="A11" s="106" t="s">
        <v>198</v>
      </c>
    </row>
    <row r="12" s="123" customFormat="true" ht="120.75" hidden="false" customHeight="true" outlineLevel="1" collapsed="false">
      <c r="A12" s="123" t="s">
        <v>199</v>
      </c>
      <c r="B12" s="123" t="s">
        <v>200</v>
      </c>
      <c r="C12" s="124" t="s">
        <v>201</v>
      </c>
      <c r="D12" s="123" t="s">
        <v>202</v>
      </c>
      <c r="E12" s="123" t="s">
        <v>203</v>
      </c>
      <c r="F12" s="123" t="s">
        <v>41</v>
      </c>
      <c r="G12" s="125" t="n">
        <v>46175</v>
      </c>
      <c r="H12" s="123" t="s">
        <v>72</v>
      </c>
      <c r="I12" s="123" t="s">
        <v>41</v>
      </c>
      <c r="J12" s="125" t="n">
        <v>46197</v>
      </c>
      <c r="K12" s="123" t="s">
        <v>72</v>
      </c>
      <c r="L12" s="123" t="s">
        <v>41</v>
      </c>
      <c r="M12" s="125" t="n">
        <v>46197</v>
      </c>
      <c r="N12" s="123" t="s">
        <v>73</v>
      </c>
    </row>
    <row r="13" customFormat="false" ht="12.75" hidden="false" customHeight="true" outlineLevel="1" collapsed="false">
      <c r="A13" s="8" t="s">
        <v>204</v>
      </c>
    </row>
    <row r="14" customFormat="false" ht="23.25" hidden="false" customHeight="true" outlineLevel="1" collapsed="false">
      <c r="A14" s="8" t="s">
        <v>205</v>
      </c>
      <c r="B14" s="8" t="s">
        <v>206</v>
      </c>
      <c r="C14" s="45" t="s">
        <v>207</v>
      </c>
      <c r="D14" s="8" t="s">
        <v>208</v>
      </c>
      <c r="E14" s="8" t="s">
        <v>209</v>
      </c>
      <c r="F14" s="8" t="s">
        <v>41</v>
      </c>
      <c r="G14" s="125" t="n">
        <v>46177</v>
      </c>
      <c r="H14" s="8" t="s">
        <v>73</v>
      </c>
      <c r="I14" s="8" t="s">
        <v>41</v>
      </c>
      <c r="J14" s="125" t="n">
        <v>46199</v>
      </c>
      <c r="K14" s="8" t="s">
        <v>73</v>
      </c>
      <c r="L14" s="8" t="s">
        <v>41</v>
      </c>
      <c r="M14" s="125" t="n">
        <v>46199</v>
      </c>
      <c r="N14" s="8" t="s">
        <v>79</v>
      </c>
    </row>
    <row r="15" s="106" customFormat="true" ht="15.75" hidden="false" customHeight="true" outlineLevel="0" collapsed="false">
      <c r="A15" s="106" t="s">
        <v>210</v>
      </c>
      <c r="B15" s="106" t="s">
        <v>211</v>
      </c>
      <c r="C15" s="106" t="s">
        <v>212</v>
      </c>
      <c r="D15" s="106" t="s">
        <v>213</v>
      </c>
      <c r="E15" s="106" t="s">
        <v>14</v>
      </c>
      <c r="F15" s="106" t="s">
        <v>41</v>
      </c>
      <c r="G15" s="125" t="n">
        <v>46181</v>
      </c>
      <c r="H15" s="106" t="s">
        <v>79</v>
      </c>
      <c r="I15" s="106" t="s">
        <v>41</v>
      </c>
      <c r="J15" s="125" t="n">
        <v>46202</v>
      </c>
      <c r="K15" s="106" t="s">
        <v>79</v>
      </c>
      <c r="L15" s="106" t="s">
        <v>41</v>
      </c>
      <c r="M15" s="125" t="n">
        <v>46202</v>
      </c>
      <c r="N15" s="106" t="s">
        <v>72</v>
      </c>
    </row>
    <row r="16" customFormat="false" ht="13.5" hidden="false" customHeight="true" outlineLevel="1" collapsed="false">
      <c r="A16" s="8" t="s">
        <v>214</v>
      </c>
      <c r="B16" s="8" t="s">
        <v>215</v>
      </c>
      <c r="C16" s="8" t="s">
        <v>216</v>
      </c>
      <c r="D16" s="8" t="s">
        <v>217</v>
      </c>
      <c r="E16" s="8" t="s">
        <v>218</v>
      </c>
      <c r="F16" s="8" t="s">
        <v>41</v>
      </c>
      <c r="G16" s="125" t="n">
        <v>46183</v>
      </c>
      <c r="H16" s="8" t="s">
        <v>72</v>
      </c>
      <c r="I16" s="8" t="s">
        <v>41</v>
      </c>
      <c r="J16" s="125" t="n">
        <v>46204</v>
      </c>
      <c r="K16" s="8" t="s">
        <v>72</v>
      </c>
      <c r="L16" s="8" t="s">
        <v>41</v>
      </c>
      <c r="M16" s="125" t="n">
        <v>46204</v>
      </c>
      <c r="N16" s="8" t="s">
        <v>73</v>
      </c>
    </row>
    <row r="17" customFormat="false" ht="13.5" hidden="false" customHeight="true" outlineLevel="1" collapsed="false">
      <c r="A17" s="8" t="s">
        <v>219</v>
      </c>
      <c r="B17" s="8" t="s">
        <v>220</v>
      </c>
      <c r="C17" s="8" t="s">
        <v>221</v>
      </c>
      <c r="D17" s="8" t="s">
        <v>222</v>
      </c>
      <c r="E17" s="8" t="s">
        <v>223</v>
      </c>
      <c r="F17" s="8" t="s">
        <v>41</v>
      </c>
      <c r="G17" s="125" t="n">
        <v>46185</v>
      </c>
      <c r="H17" s="8" t="s">
        <v>73</v>
      </c>
      <c r="I17" s="8" t="s">
        <v>41</v>
      </c>
      <c r="J17" s="125" t="n">
        <v>46206</v>
      </c>
      <c r="K17" s="8" t="s">
        <v>73</v>
      </c>
      <c r="L17" s="8" t="s">
        <v>41</v>
      </c>
      <c r="M17" s="125" t="n">
        <v>46206</v>
      </c>
      <c r="N17" s="8" t="s">
        <v>79</v>
      </c>
    </row>
  </sheetData>
  <mergeCells count="3">
    <mergeCell ref="B2:E2"/>
    <mergeCell ref="B3:E3"/>
    <mergeCell ref="B4:E4"/>
  </mergeCells>
  <printOptions headings="false" gridLines="false" gridLinesSet="true" horizontalCentered="false" verticalCentered="false"/>
  <pageMargins left="0.747916666666667" right="0.25" top="0.75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BM</cp:category>
  <dcterms:created xsi:type="dcterms:W3CDTF">2020-03-17T17:34:29Z</dcterms:created>
  <dc:creator>Kien Nguyen</dc:creator>
  <dc:description>Updates sheet Cover: Add logo, document code, creator, reviewer/approver._x005F_x000d_
Add sheet Test Case List._x005F_x000d_
Change Sheet Company, User, Provider to Modules. Add column Inter-test case dependent. Update these sheets._x005F_x000d_
Update Test Report</dc:description>
  <dc:language>en-US</dc:language>
  <cp:lastModifiedBy>Rin Nguyen Vy</cp:lastModifiedBy>
  <cp:lastPrinted>2010-11-12T10:33:20Z</cp:lastPrinted>
  <dcterms:modified xsi:type="dcterms:W3CDTF">2026-07-13T15:07:31Z</dcterms:modified>
  <cp:revision>0</cp:revision>
  <dc:subject>v1/0</dc:subject>
  <dc:title>Test case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